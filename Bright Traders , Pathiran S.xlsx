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subha\"/>
    </mc:Choice>
  </mc:AlternateContent>
  <bookViews>
    <workbookView xWindow="0" yWindow="0" windowWidth="19200" windowHeight="6930"/>
  </bookViews>
  <sheets>
    <sheet name="Problems" sheetId="1" r:id="rId1"/>
    <sheet name="Journal Entries" sheetId="2" r:id="rId2"/>
    <sheet name="Ledger" sheetId="3" r:id="rId3"/>
    <sheet name="Trial Balance " sheetId="4" r:id="rId4"/>
    <sheet name="Trading Account" sheetId="5" r:id="rId5"/>
    <sheet name="P&amp;L Account" sheetId="6" r:id="rId6"/>
    <sheet name="Balance Sheet" sheetId="7" r:id="rId7"/>
    <sheet name="Ratio Analysis" sheetId="8" r:id="rId8"/>
  </sheets>
  <calcPr calcId="162913"/>
  <extLst>
    <ext uri="GoogleSheetsCustomDataVersion2">
      <go:sheetsCustomData xmlns:go="http://customooxmlschemas.google.com/" r:id="rId12" roundtripDataChecksum="LS6VsSXZJGZRW7/xXxWcJ0CR/JQF92SvlrTCpYQ/j3c="/>
    </ext>
  </extLst>
</workbook>
</file>

<file path=xl/calcChain.xml><?xml version="1.0" encoding="utf-8"?>
<calcChain xmlns="http://schemas.openxmlformats.org/spreadsheetml/2006/main">
  <c r="C42" i="8" l="1"/>
  <c r="C36" i="8"/>
  <c r="C37" i="8" s="1"/>
  <c r="C32" i="8"/>
  <c r="C27" i="8"/>
  <c r="C22" i="8"/>
  <c r="C17" i="8"/>
  <c r="C12" i="8"/>
  <c r="C7" i="8"/>
  <c r="F19" i="7"/>
  <c r="F21" i="7" s="1"/>
  <c r="F17" i="7"/>
  <c r="F15" i="7"/>
  <c r="F13" i="7"/>
  <c r="F6" i="7"/>
  <c r="B6" i="7"/>
  <c r="C7" i="7" s="1"/>
  <c r="C21" i="7" s="1"/>
  <c r="F21" i="6"/>
  <c r="C20" i="6" s="1"/>
  <c r="C21" i="6"/>
  <c r="C15" i="6"/>
  <c r="C10" i="6"/>
  <c r="C5" i="6"/>
  <c r="C6" i="5"/>
  <c r="F5" i="5"/>
  <c r="F11" i="5" s="1"/>
  <c r="D37" i="4"/>
  <c r="C37" i="4"/>
  <c r="D228" i="3"/>
  <c r="H228" i="3" s="1"/>
  <c r="H226" i="3" s="1"/>
  <c r="D229" i="3" s="1"/>
  <c r="D221" i="3"/>
  <c r="H221" i="3" s="1"/>
  <c r="H219" i="3" s="1"/>
  <c r="D222" i="3" s="1"/>
  <c r="D214" i="3"/>
  <c r="H214" i="3" s="1"/>
  <c r="H212" i="3" s="1"/>
  <c r="D215" i="3" s="1"/>
  <c r="D207" i="3"/>
  <c r="H207" i="3" s="1"/>
  <c r="H205" i="3" s="1"/>
  <c r="D208" i="3" s="1"/>
  <c r="H200" i="3"/>
  <c r="D200" i="3"/>
  <c r="D198" i="3"/>
  <c r="H201" i="3" s="1"/>
  <c r="D193" i="3"/>
  <c r="H193" i="3" s="1"/>
  <c r="H191" i="3" s="1"/>
  <c r="D194" i="3" s="1"/>
  <c r="D186" i="3"/>
  <c r="H186" i="3" s="1"/>
  <c r="H184" i="3" s="1"/>
  <c r="D187" i="3" s="1"/>
  <c r="D179" i="3"/>
  <c r="H179" i="3" s="1"/>
  <c r="H177" i="3" s="1"/>
  <c r="D180" i="3" s="1"/>
  <c r="H172" i="3"/>
  <c r="D172" i="3"/>
  <c r="D170" i="3"/>
  <c r="H173" i="3" s="1"/>
  <c r="D165" i="3"/>
  <c r="H165" i="3" s="1"/>
  <c r="H163" i="3" s="1"/>
  <c r="D166" i="3" s="1"/>
  <c r="D158" i="3"/>
  <c r="H158" i="3" s="1"/>
  <c r="H156" i="3"/>
  <c r="D159" i="3" s="1"/>
  <c r="H150" i="3"/>
  <c r="D150" i="3" s="1"/>
  <c r="D148" i="3" s="1"/>
  <c r="H151" i="3" s="1"/>
  <c r="D143" i="3"/>
  <c r="H143" i="3" s="1"/>
  <c r="H141" i="3" s="1"/>
  <c r="D144" i="3" s="1"/>
  <c r="H136" i="3"/>
  <c r="D136" i="3" s="1"/>
  <c r="D134" i="3" s="1"/>
  <c r="H137" i="3" s="1"/>
  <c r="D129" i="3"/>
  <c r="H129" i="3" s="1"/>
  <c r="H127" i="3" s="1"/>
  <c r="D130" i="3" s="1"/>
  <c r="D122" i="3"/>
  <c r="H122" i="3" s="1"/>
  <c r="H120" i="3" s="1"/>
  <c r="D123" i="3" s="1"/>
  <c r="D115" i="3"/>
  <c r="H115" i="3" s="1"/>
  <c r="H114" i="3"/>
  <c r="D116" i="3" s="1"/>
  <c r="D105" i="3"/>
  <c r="H105" i="3" s="1"/>
  <c r="H103" i="3" s="1"/>
  <c r="D106" i="3" s="1"/>
  <c r="D98" i="3"/>
  <c r="H98" i="3" s="1"/>
  <c r="H96" i="3" s="1"/>
  <c r="D99" i="3" s="1"/>
  <c r="H91" i="3"/>
  <c r="D91" i="3" s="1"/>
  <c r="D89" i="3" s="1"/>
  <c r="H92" i="3" s="1"/>
  <c r="D84" i="3"/>
  <c r="H84" i="3" s="1"/>
  <c r="H82" i="3" s="1"/>
  <c r="D85" i="3" s="1"/>
  <c r="D77" i="3"/>
  <c r="H77" i="3" s="1"/>
  <c r="H75" i="3" s="1"/>
  <c r="D78" i="3" s="1"/>
  <c r="H70" i="3"/>
  <c r="D70" i="3"/>
  <c r="D66" i="3"/>
  <c r="H71" i="3" s="1"/>
  <c r="D62" i="3"/>
  <c r="D61" i="3"/>
  <c r="H61" i="3" s="1"/>
  <c r="H60" i="3"/>
  <c r="H52" i="3"/>
  <c r="D52" i="3"/>
  <c r="D51" i="3"/>
  <c r="H53" i="3" s="1"/>
  <c r="D43" i="3"/>
  <c r="H43" i="3" s="1"/>
  <c r="H38" i="3" s="1"/>
  <c r="D44" i="3" s="1"/>
  <c r="D33" i="3"/>
  <c r="H33" i="3" s="1"/>
  <c r="H32" i="3"/>
  <c r="D34" i="3" s="1"/>
  <c r="H13" i="3"/>
  <c r="D13" i="3" s="1"/>
  <c r="D8" i="3" s="1"/>
  <c r="H14" i="3" s="1"/>
  <c r="E51" i="2"/>
  <c r="F49" i="2"/>
  <c r="F15" i="2"/>
  <c r="C11" i="5" l="1"/>
  <c r="C10" i="5"/>
</calcChain>
</file>

<file path=xl/sharedStrings.xml><?xml version="1.0" encoding="utf-8"?>
<sst xmlns="http://schemas.openxmlformats.org/spreadsheetml/2006/main" count="1066" uniqueCount="426">
  <si>
    <t>Trial Balance as on 31st March 2026</t>
  </si>
  <si>
    <t>The following are the balances extracted from the books of M/s Bright Traders as on 1 March 2026 and the transactions entered during the month of March 2026.</t>
  </si>
  <si>
    <t>In the Books of Journal Entries of Ms Bright Traders for the Month Ended 31st March 2026</t>
  </si>
  <si>
    <t>Date</t>
  </si>
  <si>
    <t>In the Books of Ledger Account of Ms Bright Traders for the Month Ended 31st March 2026</t>
  </si>
  <si>
    <t>Particulars</t>
  </si>
  <si>
    <t>SI.NO</t>
  </si>
  <si>
    <t>L.F</t>
  </si>
  <si>
    <t>Debit ₹</t>
  </si>
  <si>
    <t>Credit ₹</t>
  </si>
  <si>
    <t>Capital Account</t>
  </si>
  <si>
    <t>Opening Balances as on 1st March 2026</t>
  </si>
  <si>
    <t>01.03.2026</t>
  </si>
  <si>
    <t>Cash A/C</t>
  </si>
  <si>
    <t>Dr.</t>
  </si>
  <si>
    <t>J.F</t>
  </si>
  <si>
    <t>Amount ₹</t>
  </si>
  <si>
    <t>Particular</t>
  </si>
  <si>
    <t>Amount (₹)</t>
  </si>
  <si>
    <t xml:space="preserve">         -</t>
  </si>
  <si>
    <t>Bank A/C</t>
  </si>
  <si>
    <t>To Ravi Traders A/C</t>
  </si>
  <si>
    <t>Cash in Hand</t>
  </si>
  <si>
    <t>Opening Stock A/C</t>
  </si>
  <si>
    <t>Furniture A/C</t>
  </si>
  <si>
    <t>By Cash A/C</t>
  </si>
  <si>
    <t>Machinery A/C</t>
  </si>
  <si>
    <t>Purchases A/C</t>
  </si>
  <si>
    <t>To Siva Suppliers A/C</t>
  </si>
  <si>
    <t>Computer A/C</t>
  </si>
  <si>
    <t>By Bank A/C</t>
  </si>
  <si>
    <t>Manoj Stores A/C</t>
  </si>
  <si>
    <t>Cash at Bank</t>
  </si>
  <si>
    <t>Ravi Traders A/C</t>
  </si>
  <si>
    <t>Deepa Stores A/C</t>
  </si>
  <si>
    <t>To Bank Loan A/C</t>
  </si>
  <si>
    <t xml:space="preserve">  To Ravi Traders A/C</t>
  </si>
  <si>
    <t>By Opening Stock A/C</t>
  </si>
  <si>
    <t>31.03.2026</t>
  </si>
  <si>
    <t>Opening Stock</t>
  </si>
  <si>
    <t>To Balance c/d</t>
  </si>
  <si>
    <t xml:space="preserve">  To Siva Suppliers A/C</t>
  </si>
  <si>
    <t xml:space="preserve">  To Bank Loan A/C</t>
  </si>
  <si>
    <t>Furniture</t>
  </si>
  <si>
    <t>Sales A/C</t>
  </si>
  <si>
    <t xml:space="preserve">  To Capital A/C</t>
  </si>
  <si>
    <t>Machinery</t>
  </si>
  <si>
    <t>Carriage Inwards A/C</t>
  </si>
  <si>
    <t>Computer</t>
  </si>
  <si>
    <t>Wages A/C</t>
  </si>
  <si>
    <t>Debtors – Manoj Stores</t>
  </si>
  <si>
    <t>By Furniture A/C</t>
  </si>
  <si>
    <t>Purchase Return A/C</t>
  </si>
  <si>
    <t>Debtors – Deepa Stores</t>
  </si>
  <si>
    <t>(Being Opening Balance of Bright Traders)</t>
  </si>
  <si>
    <t>Sales Return A/C</t>
  </si>
  <si>
    <t>02.03.2026</t>
  </si>
  <si>
    <t>Purchased A/C</t>
  </si>
  <si>
    <t>Creditors – Ravi Traders</t>
  </si>
  <si>
    <t>Office Equipments A/C</t>
  </si>
  <si>
    <t>By Machinery A/C</t>
  </si>
  <si>
    <t>Creditors – Siva Suppliers</t>
  </si>
  <si>
    <t>By Computer A/C</t>
  </si>
  <si>
    <t>(Being Purchased goods from Ravi Traders on credit)</t>
  </si>
  <si>
    <t>Salary A/C</t>
  </si>
  <si>
    <t>Capital</t>
  </si>
  <si>
    <t>03.03.2026</t>
  </si>
  <si>
    <t>By Manoj Stores A/C</t>
  </si>
  <si>
    <t>Discount Allowed A/C</t>
  </si>
  <si>
    <t xml:space="preserve">  To Cash A/C</t>
  </si>
  <si>
    <t>Bank Loan</t>
  </si>
  <si>
    <t>By Deepa Stores A/C</t>
  </si>
  <si>
    <t>Discount Received A/C</t>
  </si>
  <si>
    <t>(Being Purchased goods for cash)</t>
  </si>
  <si>
    <t>Rent A/C</t>
  </si>
  <si>
    <t>04.03.2026</t>
  </si>
  <si>
    <t>Siva Suppliers A/C</t>
  </si>
  <si>
    <t xml:space="preserve">  To Sales A/C</t>
  </si>
  <si>
    <t>Transactions for March 2026</t>
  </si>
  <si>
    <t>(Being Sold goods to Manoj Stores on credit)</t>
  </si>
  <si>
    <t>05.03.2026</t>
  </si>
  <si>
    <t>Electricity Charges A/C</t>
  </si>
  <si>
    <t>Transactions</t>
  </si>
  <si>
    <t>Commission Received A/C</t>
  </si>
  <si>
    <t>Monday, March 02, 2026</t>
  </si>
  <si>
    <t>Purchased goods from Ravi Traders on credit ₹1,10,000</t>
  </si>
  <si>
    <t>(Being Sold Goods for Cash)</t>
  </si>
  <si>
    <t>Capital A/C</t>
  </si>
  <si>
    <t>01.04.2026</t>
  </si>
  <si>
    <t>06.03.2026</t>
  </si>
  <si>
    <t>By Balance b/d</t>
  </si>
  <si>
    <t>Drawings A/C</t>
  </si>
  <si>
    <t>Tuesday, March 03, 2026</t>
  </si>
  <si>
    <t>Purchased goods for cash ₹35,000</t>
  </si>
  <si>
    <t>Insurance Premium A/C</t>
  </si>
  <si>
    <t>(Being Paid carriage inward)</t>
  </si>
  <si>
    <t>Wednesday, March 04, 2026</t>
  </si>
  <si>
    <t>Cash Account</t>
  </si>
  <si>
    <t>Sold goods to Manoj Stores on credit ₹1,60,000</t>
  </si>
  <si>
    <t>Carriage Outwards A/C</t>
  </si>
  <si>
    <t>07.03.2026</t>
  </si>
  <si>
    <t>Thursday, March 05, 2026</t>
  </si>
  <si>
    <t>Sold goods for cash ₹75,000</t>
  </si>
  <si>
    <t>Interest Received A/C</t>
  </si>
  <si>
    <t>Friday, March 06, 2026</t>
  </si>
  <si>
    <t>Paid carriage inward ₹4,500</t>
  </si>
  <si>
    <t>Advertisement Expenses A/C</t>
  </si>
  <si>
    <t>(Being Paid wages)</t>
  </si>
  <si>
    <t>08.03.2026</t>
  </si>
  <si>
    <t>Saturday, March 07, 2026</t>
  </si>
  <si>
    <t>Miscellaneous Expenses A/C</t>
  </si>
  <si>
    <t>Paid wages ₹15,000</t>
  </si>
  <si>
    <t>To Balance b/d</t>
  </si>
  <si>
    <t xml:space="preserve">  To Purchase Return A/C</t>
  </si>
  <si>
    <t>By Purchased A/C</t>
  </si>
  <si>
    <t>Sunday, March 08, 2026</t>
  </si>
  <si>
    <t>Returned goods to Ravi Traders worth ₹12,000</t>
  </si>
  <si>
    <t>(Being Returned goods to Ravi Traders)</t>
  </si>
  <si>
    <t>To Sales A/C</t>
  </si>
  <si>
    <t>Monday, March 09, 2026</t>
  </si>
  <si>
    <t>Bank Loan Interest A/C</t>
  </si>
  <si>
    <t>Manoj Stores returned goods worth ₹10,000</t>
  </si>
  <si>
    <t>By Carriage Inwards A/C</t>
  </si>
  <si>
    <t>09.03.2026</t>
  </si>
  <si>
    <t>12.03.2026</t>
  </si>
  <si>
    <t>Tuesday, March 10, 2026</t>
  </si>
  <si>
    <t>To Manoj Stores A/C</t>
  </si>
  <si>
    <t xml:space="preserve">  To Manoj Stores A/C</t>
  </si>
  <si>
    <t>Purchased office equipment by cheque ₹50,000</t>
  </si>
  <si>
    <t>By Wages A/C</t>
  </si>
  <si>
    <t>(Being Manoj Stores returned goods)</t>
  </si>
  <si>
    <t>Wednesday, March 11, 2026</t>
  </si>
  <si>
    <t>19.03.2026</t>
  </si>
  <si>
    <t>Paid salary ₹22,000</t>
  </si>
  <si>
    <t>To Commission Received A/C</t>
  </si>
  <si>
    <t>11.03.2026</t>
  </si>
  <si>
    <t>10.03.2026</t>
  </si>
  <si>
    <t>Office Equipment A/C</t>
  </si>
  <si>
    <t>By Salary A/C</t>
  </si>
  <si>
    <t>Thursday, March 12, 2026</t>
  </si>
  <si>
    <t>Received ₹2,10,000 from Manoj Stores and allowed discount ₹6,000</t>
  </si>
  <si>
    <t xml:space="preserve">  To Bank A/C</t>
  </si>
  <si>
    <t>20.03.2026</t>
  </si>
  <si>
    <t>To Bank A/C</t>
  </si>
  <si>
    <t>Bank Loan A/C</t>
  </si>
  <si>
    <t>14.03.2026</t>
  </si>
  <si>
    <t>By Rent A/C</t>
  </si>
  <si>
    <t>Friday, March 13, 2026</t>
  </si>
  <si>
    <t>Paid Ravi Traders ₹1,50,000 by cheque and received discount ₹7,000</t>
  </si>
  <si>
    <t>(Being Purchased office equipment by cheque)</t>
  </si>
  <si>
    <t>18.03.2026</t>
  </si>
  <si>
    <t>By Electricity Charges A/C</t>
  </si>
  <si>
    <t>Saturday, March 14, 2026</t>
  </si>
  <si>
    <t>Paid office rent ₹18,000</t>
  </si>
  <si>
    <t>21.03.2026</t>
  </si>
  <si>
    <t>Sunday, March 15, 2026</t>
  </si>
  <si>
    <t>By Drawings A/C</t>
  </si>
  <si>
    <t>Purchased goods on credit from Siva Suppliers ₹85,000</t>
  </si>
  <si>
    <t>Total</t>
  </si>
  <si>
    <t>23.03.2026</t>
  </si>
  <si>
    <t>Monday, March 16, 2026</t>
  </si>
  <si>
    <t>By Carriage Outwards A/C</t>
  </si>
  <si>
    <t>Sold goods on credit to Deepa Stores ₹1,20,000</t>
  </si>
  <si>
    <t>(Being Paid salary)</t>
  </si>
  <si>
    <t>Tuesday, March 17, 2026</t>
  </si>
  <si>
    <t>25.03.2026</t>
  </si>
  <si>
    <t>Received ₹1,10,000 from Deepa Stores through bank</t>
  </si>
  <si>
    <t>Wednesday, March 18, 2026</t>
  </si>
  <si>
    <t>Paid electricity charges ₹5,500</t>
  </si>
  <si>
    <t>26.03.2026</t>
  </si>
  <si>
    <t>By Advertisement Expenses A/C</t>
  </si>
  <si>
    <t>Thursday, March 19, 2026</t>
  </si>
  <si>
    <t>Received commission ₹9,000 in cash</t>
  </si>
  <si>
    <t>27.03.2026</t>
  </si>
  <si>
    <t>By Miscellaneous Expenses A/C</t>
  </si>
  <si>
    <t>28.03.2026</t>
  </si>
  <si>
    <t>Friday, March 20, 2026</t>
  </si>
  <si>
    <t>Withdrew cash from bank for office use ₹20,000</t>
  </si>
  <si>
    <t>(Being Received from Manoj Stores and allowed discount)</t>
  </si>
  <si>
    <t>Saturday, March 21, 2026</t>
  </si>
  <si>
    <t>Drawings by proprietor in cash ₹12,000</t>
  </si>
  <si>
    <t>29.03.2026</t>
  </si>
  <si>
    <t>By Bank Loan Interest A/C</t>
  </si>
  <si>
    <t>Sunday, March 22, 2026</t>
  </si>
  <si>
    <t>Paid insurance premium by cheque ₹6,000</t>
  </si>
  <si>
    <t>13.03.2026</t>
  </si>
  <si>
    <t>30.03.2026</t>
  </si>
  <si>
    <t>Monday, March 23, 2026</t>
  </si>
  <si>
    <t>Paid carriage outward ₹4,000</t>
  </si>
  <si>
    <t>By Balance c/d</t>
  </si>
  <si>
    <t>Tuesday, March 24, 2026</t>
  </si>
  <si>
    <t>Received interest from bank ₹3,000</t>
  </si>
  <si>
    <t xml:space="preserve">  To Discount Received A/C</t>
  </si>
  <si>
    <t>Wednesday, March 25, 2026</t>
  </si>
  <si>
    <t>(Being Paid Ravi Traders by cheque and received discount)</t>
  </si>
  <si>
    <t>Purchased goods for cash ₹30,000</t>
  </si>
  <si>
    <t>Thursday, March 26, 2026</t>
  </si>
  <si>
    <t>Paid advertisement expenses ₹8,500</t>
  </si>
  <si>
    <t>Friday, March 27, 2026</t>
  </si>
  <si>
    <t>Paid miscellaneous expenses ₹2,500</t>
  </si>
  <si>
    <t>(Being Paid office rent)</t>
  </si>
  <si>
    <t>15.03.2026</t>
  </si>
  <si>
    <t>Saturday, March 28, 2026</t>
  </si>
  <si>
    <t>Purchased furniture for cash ₹25,000</t>
  </si>
  <si>
    <t>Sunday, March 29, 2026</t>
  </si>
  <si>
    <t>Paid bank loan interest ₹5,000</t>
  </si>
  <si>
    <t>(Being Purchased goods on credit from Siva Suppliers)</t>
  </si>
  <si>
    <t>Monday, March 30, 2026</t>
  </si>
  <si>
    <t>16.03.2026</t>
  </si>
  <si>
    <t>Deposited additional cash into bank ₹40,000</t>
  </si>
  <si>
    <t>Purchased Account</t>
  </si>
  <si>
    <t>(Being Sold goods on credit to Deepa Stores)</t>
  </si>
  <si>
    <t>17.03.2026</t>
  </si>
  <si>
    <t>Additional Information</t>
  </si>
  <si>
    <t xml:space="preserve">  To Deepa Stores A/C</t>
  </si>
  <si>
    <t>(Being Received from Deepa Stores through bank)</t>
  </si>
  <si>
    <t>1. Closing stock on 31st March 2026 was valued at ₹1,10,000.</t>
  </si>
  <si>
    <t>To Cash A/C</t>
  </si>
  <si>
    <t>(Being Paid electricity charges)</t>
  </si>
  <si>
    <t>2. Depreciate machinery @ 10% p.a.</t>
  </si>
  <si>
    <t xml:space="preserve">  To Commission Received A/C</t>
  </si>
  <si>
    <t>(Being Received commission in cash)</t>
  </si>
  <si>
    <t>3. Depreciate furniture @ 5% p.a.</t>
  </si>
  <si>
    <t>4. Depreciate computer @ 10% p.a.</t>
  </si>
  <si>
    <t>(Being Withdrew cash from bank for office use)</t>
  </si>
  <si>
    <t>5. Depreciate office equipment @ 10% p.a.</t>
  </si>
  <si>
    <t>6. Outstanding salary ₹3,000.</t>
  </si>
  <si>
    <t>(Being Drawings by proprietor in cash)</t>
  </si>
  <si>
    <t>7. Prepaid insurance ₹1,500.</t>
  </si>
  <si>
    <t>22.03.2026</t>
  </si>
  <si>
    <t>Ravi Traders Account</t>
  </si>
  <si>
    <t>8. Interest on bank loan accrued but not paid ₹2,000.</t>
  </si>
  <si>
    <t>(Being Paid insurance premium by cheque)</t>
  </si>
  <si>
    <t>To Purchase Return A/C</t>
  </si>
  <si>
    <t>(Being Paid carriage outward)</t>
  </si>
  <si>
    <t>24.03.2026</t>
  </si>
  <si>
    <t xml:space="preserve">  To Interest Received A/C</t>
  </si>
  <si>
    <t>(Being Received interest from bank)</t>
  </si>
  <si>
    <t>To Discount Received A/C</t>
  </si>
  <si>
    <t>(Being Paid advertisement expenses)</t>
  </si>
  <si>
    <t>(Being Paid miscellaneous expenses)</t>
  </si>
  <si>
    <t>Manoj Stores Account</t>
  </si>
  <si>
    <t>(Being Purchased furniture for cash)</t>
  </si>
  <si>
    <t xml:space="preserve">   To Cash A/C</t>
  </si>
  <si>
    <t>(Being Paid bank loan interest)</t>
  </si>
  <si>
    <t>By Sales Return A/C</t>
  </si>
  <si>
    <t>(Being Deposited additional cash into bank)</t>
  </si>
  <si>
    <t>By Discount Allowed A/C</t>
  </si>
  <si>
    <t>Sales Account</t>
  </si>
  <si>
    <t>Carriage Inwards Account</t>
  </si>
  <si>
    <t>Wages Account</t>
  </si>
  <si>
    <t>Purchase Return Account</t>
  </si>
  <si>
    <t>By Ravi Traders A/C</t>
  </si>
  <si>
    <t>Sales Return Account</t>
  </si>
  <si>
    <t>Office Equipments Account</t>
  </si>
  <si>
    <t>Bank Account</t>
  </si>
  <si>
    <t>By Office Equipments A/C</t>
  </si>
  <si>
    <t>To Deepa Stores A/C</t>
  </si>
  <si>
    <t>To Interest Received A/C</t>
  </si>
  <si>
    <t>By Insurance Premium A/C</t>
  </si>
  <si>
    <t>Salary Account</t>
  </si>
  <si>
    <t>Discount Allowed Account</t>
  </si>
  <si>
    <t>To Manoj Traders A/C</t>
  </si>
  <si>
    <t>Discount Received Account</t>
  </si>
  <si>
    <t>Rent Account</t>
  </si>
  <si>
    <t>Siva Suppliers Account</t>
  </si>
  <si>
    <t>Deepa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</si>
  <si>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</si>
  <si>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</si>
  <si>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</si>
  <si>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</si>
  <si>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</si>
  <si>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Trading Account for the Month Ended 31st March 2026</t>
  </si>
  <si>
    <t>Profit &amp; Loss Account for the Month Ended 31st March 2026</t>
  </si>
  <si>
    <t>Dr.                                                                                                                                                                            Cr.</t>
  </si>
  <si>
    <t>Dr.                                                                                                                                                                                                                    Cr.</t>
  </si>
  <si>
    <t>To Salary A/C</t>
  </si>
  <si>
    <t>To Opening Stock</t>
  </si>
  <si>
    <t>By Gross Profit b/d</t>
  </si>
  <si>
    <t>By Sales</t>
  </si>
  <si>
    <t>Balance Sheet as on 31st March 2026</t>
  </si>
  <si>
    <t>To Purchases A/C</t>
  </si>
  <si>
    <t>Interest Received Account</t>
  </si>
  <si>
    <t>By Discount Received A/C</t>
  </si>
  <si>
    <t>Liabilities</t>
  </si>
  <si>
    <t>To Discount Allowed A/C</t>
  </si>
  <si>
    <t>Assets</t>
  </si>
  <si>
    <t>By Closing Stock</t>
  </si>
  <si>
    <t>By Commission Received A/C</t>
  </si>
  <si>
    <t>Direct Expenses :</t>
  </si>
  <si>
    <t>To Rent A/C</t>
  </si>
  <si>
    <t>By Interest Received A/C</t>
  </si>
  <si>
    <t>Current Assets :</t>
  </si>
  <si>
    <t>To Electricity Charges A/C</t>
  </si>
  <si>
    <t>To Wages A/C</t>
  </si>
  <si>
    <t>To Insurance Premium A/C</t>
  </si>
  <si>
    <t>To Carriage Inwards A/C</t>
  </si>
  <si>
    <t xml:space="preserve">Cash in Hand </t>
  </si>
  <si>
    <t>To Gross Profit c/d</t>
  </si>
  <si>
    <t>To Carriage Outwards A/C</t>
  </si>
  <si>
    <t>To Advertisement Expenses A/C</t>
  </si>
  <si>
    <t>Advertisement Expenses Account</t>
  </si>
  <si>
    <t>To Miscellaneous Expenses A/C</t>
  </si>
  <si>
    <t>To Bank Loan Interest A/C</t>
  </si>
  <si>
    <t>Manoj Stores</t>
  </si>
  <si>
    <t>To Depreciation on Machinery</t>
  </si>
  <si>
    <t>Non - Current Liabilites :</t>
  </si>
  <si>
    <t>To Depreciation on Furniture</t>
  </si>
  <si>
    <t>Deepa Stores</t>
  </si>
  <si>
    <t>To Depreciation on Office Equipments</t>
  </si>
  <si>
    <t>Prepaid Insurance</t>
  </si>
  <si>
    <t>To Depreciation on Computer</t>
  </si>
  <si>
    <t>Current Liabilites :</t>
  </si>
  <si>
    <t>To Net Profit (Transferred to Capital)</t>
  </si>
  <si>
    <t>Closing Stock</t>
  </si>
  <si>
    <t>Ravi Traders</t>
  </si>
  <si>
    <t>Fixed Assets :</t>
  </si>
  <si>
    <t>Miscellaneous Expenses Account</t>
  </si>
  <si>
    <t>Siva Suppliers</t>
  </si>
  <si>
    <t>Outstanding Salary</t>
  </si>
  <si>
    <t>Accrued Interest on Bank Loan</t>
  </si>
  <si>
    <t>Furniture Account</t>
  </si>
  <si>
    <t>Office Equipments</t>
  </si>
  <si>
    <t>Bank Loan Interest Account</t>
  </si>
  <si>
    <t>Ratio Analysis</t>
  </si>
  <si>
    <t>Interpretation of results</t>
  </si>
  <si>
    <t>(Complete Ratio Analysis whichever is applicable)</t>
  </si>
  <si>
    <t>1. Current Ratio</t>
  </si>
  <si>
    <t>Current Assets / Current Liabilities</t>
  </si>
  <si>
    <t>Ideal ratio is 2:1</t>
  </si>
  <si>
    <t>Current Assets</t>
  </si>
  <si>
    <t>Cash + Bank + Closing Stock + debtors + Prepaid Insurance</t>
  </si>
  <si>
    <t>The firm has ₹ 2.3 of current assets for every ₹1 of Current Liabilities.</t>
  </si>
  <si>
    <t>Current Liabilities</t>
  </si>
  <si>
    <t>Creditors + Outstanding Expenses + Accrued Expenses</t>
  </si>
  <si>
    <t>This indicates that the firm can easily meet its short-term obligations.</t>
  </si>
  <si>
    <t>Current Ratio</t>
  </si>
  <si>
    <t>3,49,500 / 1,51,000</t>
  </si>
  <si>
    <t>A very high current ratio may mean that some current assets are not being used efficiently.</t>
  </si>
  <si>
    <t>2. Quick Ratio</t>
  </si>
  <si>
    <t>(Current Assets - Inventory - Prepaid Expenses) / Current Liabilities</t>
  </si>
  <si>
    <t>Ideal ratio is 1:1</t>
  </si>
  <si>
    <t>Quick Assets</t>
  </si>
  <si>
    <t>Current Assets - Inventory - Prepaid Expenses</t>
  </si>
  <si>
    <t>The firm has ₹ 1.6 of Liquid assets for every ₹ 1 of Current Liabilities.</t>
  </si>
  <si>
    <t>This indicates that the firm can comfortably meet its immediate liabilities.</t>
  </si>
  <si>
    <t>Quick Ratio</t>
  </si>
  <si>
    <t>2,38,000 / 1,51,000</t>
  </si>
  <si>
    <t>A very high quick ratio may indicate that more liquid assets are being held than necessary.</t>
  </si>
  <si>
    <t>3. Cash Ratio</t>
  </si>
  <si>
    <t>(Cash + Cash Equivalents) / Current Liabilities</t>
  </si>
  <si>
    <t>Ideal ratio is 0.5:1</t>
  </si>
  <si>
    <t>The firm has ₹ 1.2 of cash and cash equivalents for every ₹1 of current liabilities.</t>
  </si>
  <si>
    <t>Cash and Cash Equivalents</t>
  </si>
  <si>
    <t xml:space="preserve">Cash + Bank </t>
  </si>
  <si>
    <t>Comfortably</t>
  </si>
  <si>
    <t>This indicates that the firm has enough cash to meet its immediate obligations.</t>
  </si>
  <si>
    <t>Cash Ratio</t>
  </si>
  <si>
    <t>1,79,000 / 1,51,000</t>
  </si>
  <si>
    <t>A very high cash ratio may indicate that excess cash is not being used efficiently.</t>
  </si>
  <si>
    <t>4. Debt-to-Equity Ratio</t>
  </si>
  <si>
    <t>Total Debt / Shareholders' Equity</t>
  </si>
  <si>
    <t>Total Debt</t>
  </si>
  <si>
    <t>Current Liabilities + Non - Current Liabilities</t>
  </si>
  <si>
    <t>The firm has ₹ 0.53 of debt for every ₹ 1 of shareholders equity.</t>
  </si>
  <si>
    <t>Shareholders' Equity</t>
  </si>
  <si>
    <t xml:space="preserve">Capital + Net Profit </t>
  </si>
  <si>
    <t>This indicates a very low level of financial leverage and a strong equity base.</t>
  </si>
  <si>
    <t>Debt-to-Equity Ratio</t>
  </si>
  <si>
    <t>2,51,000 / 4,70,729</t>
  </si>
  <si>
    <t>This indicates a low dependence on debt and a strong equity base.</t>
  </si>
  <si>
    <t>5. Debt-to-Asset Ratio</t>
  </si>
  <si>
    <t>Total Debt / Total Assets</t>
  </si>
  <si>
    <t>Ideal ratio is &lt; 50 %</t>
  </si>
  <si>
    <t>The firm has ₹ 0.35 of debt for every ₹ 1 invested in total assets.</t>
  </si>
  <si>
    <t>The firm finances 35% of its assets through debt.</t>
  </si>
  <si>
    <t>Total Assets</t>
  </si>
  <si>
    <t>Balance Sheet Tally</t>
  </si>
  <si>
    <t>Indicates strong financial stability and a low level of financial risk.</t>
  </si>
  <si>
    <t>Debt-to-Assets Ratio</t>
  </si>
  <si>
    <t>2,51,000 / 7,21,729</t>
  </si>
  <si>
    <t>The company depends more on equity than debt, This indicates a lower level of debt financing.</t>
  </si>
  <si>
    <t>6. Asset Turnover Ratio</t>
  </si>
  <si>
    <t>Net Sales / Total Assets</t>
  </si>
  <si>
    <t>Ideal ratio is &gt; 2 times</t>
  </si>
  <si>
    <t>Net Sales</t>
  </si>
  <si>
    <t>Sales - Sales Return</t>
  </si>
  <si>
    <t>The firm generates only ₹ 0.48 of net sales for every ₹ 1 invested in total assets.</t>
  </si>
  <si>
    <t>This indicates the business generates sales equal to 48% of its total assets.</t>
  </si>
  <si>
    <t>Assets Turnover Ratio</t>
  </si>
  <si>
    <t>3,45,000 / 7,21,729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</si>
  <si>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</si>
  <si>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</si>
  <si>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</si>
  <si>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</si>
  <si>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1.74 of net sales for every ₹ 1 of working capital.</t>
  </si>
  <si>
    <t>Working Capital</t>
  </si>
  <si>
    <t>Current Assets - Current Liabilities</t>
  </si>
  <si>
    <t>This indicates the business generates sales equal to 174% of its working capital.</t>
  </si>
  <si>
    <t>Working Capital turnover Ratio</t>
  </si>
  <si>
    <t>3,45,000 / 1,98,500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</si>
  <si>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</si>
  <si>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</si>
  <si>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</si>
  <si>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</si>
  <si>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Goods sold</t>
  </si>
  <si>
    <t>Opening Stock + Purchases + Direct Expenses - Closing Stock</t>
  </si>
  <si>
    <t>The firm turns over its inventory ₹ 2.5 times during the Period. This indicates slow Inventory</t>
  </si>
  <si>
    <t>Average inventory</t>
  </si>
  <si>
    <t>Opening Stock + Closing Stock / 2</t>
  </si>
  <si>
    <t>This indicates that inventory is moving relatively slowly.</t>
  </si>
  <si>
    <t>Inventory Turnover Ratio</t>
  </si>
  <si>
    <t>2,47,500 / 1,00,000</t>
  </si>
  <si>
    <t>Slow inventory movement may increase storage costs and the risk of old stock.</t>
  </si>
  <si>
    <t xml:space="preserve">Dr.                                                                                                                                                                                                                                                                                                   Cr.   </t>
  </si>
  <si>
    <t>Dr.                                                                                                                                                                                                                                                                                                   Cr.</t>
  </si>
  <si>
    <r>
      <rPr>
        <b/>
        <sz val="14"/>
        <color theme="1"/>
        <rFont val="Calibri"/>
        <family val="2"/>
        <scheme val="minor"/>
      </rPr>
      <t>Less :</t>
    </r>
    <r>
      <rPr>
        <sz val="14"/>
        <color theme="1"/>
        <rFont val="Calibri"/>
        <family val="2"/>
        <scheme val="minor"/>
      </rPr>
      <t xml:space="preserve"> Sales Return</t>
    </r>
  </si>
  <si>
    <r>
      <rPr>
        <b/>
        <sz val="14"/>
        <color theme="1"/>
        <rFont val="Calibri"/>
        <family val="2"/>
        <scheme val="minor"/>
      </rPr>
      <t>Less :</t>
    </r>
    <r>
      <rPr>
        <sz val="14"/>
        <color theme="1"/>
        <rFont val="Calibri"/>
        <family val="2"/>
        <scheme val="minor"/>
      </rPr>
      <t xml:space="preserve"> Purchase Return</t>
    </r>
  </si>
  <si>
    <r>
      <rPr>
        <b/>
        <sz val="14"/>
        <color theme="1"/>
        <rFont val="Calibri"/>
        <family val="2"/>
        <scheme val="minor"/>
      </rPr>
      <t>Add :</t>
    </r>
    <r>
      <rPr>
        <sz val="14"/>
        <color theme="1"/>
        <rFont val="Calibri"/>
        <family val="2"/>
        <scheme val="minor"/>
      </rPr>
      <t xml:space="preserve"> Outstanding Salary</t>
    </r>
  </si>
  <si>
    <r>
      <rPr>
        <b/>
        <sz val="14"/>
        <color theme="1"/>
        <rFont val="Calibri"/>
        <family val="2"/>
        <scheme val="minor"/>
      </rPr>
      <t xml:space="preserve">Less : </t>
    </r>
    <r>
      <rPr>
        <sz val="14"/>
        <color theme="1"/>
        <rFont val="Calibri"/>
        <family val="2"/>
        <scheme val="minor"/>
      </rPr>
      <t>Prepaid Insurance</t>
    </r>
  </si>
  <si>
    <r>
      <rPr>
        <b/>
        <sz val="14"/>
        <color theme="1"/>
        <rFont val="Calibri"/>
        <family val="2"/>
        <scheme val="minor"/>
      </rPr>
      <t>Add :</t>
    </r>
    <r>
      <rPr>
        <sz val="14"/>
        <color theme="1"/>
        <rFont val="Calibri"/>
        <family val="2"/>
        <scheme val="minor"/>
      </rPr>
      <t xml:space="preserve"> Accrued Interest on Bank Loan</t>
    </r>
  </si>
  <si>
    <r>
      <rPr>
        <b/>
        <sz val="14"/>
        <color theme="1"/>
        <rFont val="Calibri"/>
        <family val="2"/>
        <scheme val="minor"/>
      </rPr>
      <t xml:space="preserve">   </t>
    </r>
    <r>
      <rPr>
        <b/>
        <sz val="14"/>
        <color rgb="FFFF0000"/>
        <rFont val="Calibri"/>
        <family val="2"/>
        <scheme val="minor"/>
      </rPr>
      <t>Add :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Net Profit</t>
    </r>
  </si>
  <si>
    <r>
      <rPr>
        <b/>
        <sz val="14"/>
        <color theme="1"/>
        <rFont val="Calibri"/>
        <family val="2"/>
        <scheme val="minor"/>
      </rPr>
      <t xml:space="preserve">   </t>
    </r>
    <r>
      <rPr>
        <b/>
        <sz val="14"/>
        <color rgb="FFFF0000"/>
        <rFont val="Calibri"/>
        <family val="2"/>
        <scheme val="minor"/>
      </rPr>
      <t>Less :</t>
    </r>
    <r>
      <rPr>
        <sz val="14"/>
        <color theme="1"/>
        <rFont val="Calibri"/>
        <family val="2"/>
        <scheme val="minor"/>
      </rPr>
      <t xml:space="preserve"> Drawings</t>
    </r>
  </si>
  <si>
    <r>
      <rPr>
        <b/>
        <sz val="14"/>
        <color theme="1"/>
        <rFont val="Calibri"/>
        <family val="2"/>
        <scheme val="minor"/>
      </rPr>
      <t xml:space="preserve">   </t>
    </r>
    <r>
      <rPr>
        <b/>
        <sz val="14"/>
        <color rgb="FFFF0000"/>
        <rFont val="Calibri"/>
        <family val="2"/>
        <scheme val="minor"/>
      </rPr>
      <t xml:space="preserve">Less : </t>
    </r>
    <r>
      <rPr>
        <sz val="14"/>
        <color theme="1"/>
        <rFont val="Calibri"/>
        <family val="2"/>
        <scheme val="minor"/>
      </rPr>
      <t>Depreciation</t>
    </r>
  </si>
  <si>
    <r>
      <rPr>
        <b/>
        <sz val="14"/>
        <color theme="1"/>
        <rFont val="Calibri"/>
        <family val="2"/>
        <scheme val="minor"/>
      </rPr>
      <t xml:space="preserve">  </t>
    </r>
    <r>
      <rPr>
        <b/>
        <sz val="14"/>
        <color rgb="FFFF0000"/>
        <rFont val="Calibri"/>
        <family val="2"/>
        <scheme val="minor"/>
      </rPr>
      <t xml:space="preserve"> Less :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Depreciation</t>
    </r>
  </si>
  <si>
    <r>
      <rPr>
        <b/>
        <sz val="14"/>
        <color theme="1"/>
        <rFont val="Calibri"/>
        <family val="2"/>
        <scheme val="minor"/>
      </rPr>
      <t xml:space="preserve">   </t>
    </r>
    <r>
      <rPr>
        <b/>
        <sz val="14"/>
        <color rgb="FFFF0000"/>
        <rFont val="Calibri"/>
        <family val="2"/>
        <scheme val="minor"/>
      </rPr>
      <t>Less :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Depreciation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</si>
</sst>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</font>
    <font>
      <sz val="14"/>
      <color theme="1"/>
      <name val="Times New Roman"/>
    </font>
    <font>
      <b/>
      <i/>
      <sz val="14"/>
      <color theme="1"/>
      <name val="Times New Roman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0C0C0C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/>
        <bgColor theme="0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theme="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rgb="FF2F5496"/>
      </patternFill>
    </fill>
    <fill>
      <patternFill patternType="solid">
        <fgColor theme="4" tint="0.39997558519241921"/>
        <bgColor rgb="FF9CC2E5"/>
      </patternFill>
    </fill>
    <fill>
      <patternFill patternType="solid">
        <fgColor theme="4" tint="0.39997558519241921"/>
        <bgColor rgb="FFBDD6EE"/>
      </patternFill>
    </fill>
  </fills>
  <borders count="71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 applyFont="1" applyAlignment="1"/>
    <xf numFmtId="0" fontId="3" fillId="0" borderId="0" xfId="0" applyFont="1"/>
    <xf numFmtId="0" fontId="4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8" xfId="0" applyFont="1" applyFill="1" applyBorder="1" applyAlignment="1">
      <alignment wrapText="1"/>
    </xf>
    <xf numFmtId="0" fontId="3" fillId="2" borderId="29" xfId="0" applyFont="1" applyFill="1" applyBorder="1" applyAlignment="1">
      <alignment wrapText="1"/>
    </xf>
    <xf numFmtId="3" fontId="3" fillId="0" borderId="0" xfId="0" applyNumberFormat="1" applyFont="1"/>
    <xf numFmtId="0" fontId="2" fillId="2" borderId="29" xfId="0" applyFont="1" applyFill="1" applyBorder="1" applyAlignment="1">
      <alignment vertical="center" wrapText="1"/>
    </xf>
    <xf numFmtId="0" fontId="3" fillId="2" borderId="29" xfId="0" applyFont="1" applyFill="1" applyBorder="1" applyAlignment="1">
      <alignment vertical="center" wrapText="1"/>
    </xf>
    <xf numFmtId="0" fontId="3" fillId="2" borderId="43" xfId="0" applyFont="1" applyFill="1" applyBorder="1" applyAlignment="1">
      <alignment vertical="center" wrapText="1"/>
    </xf>
    <xf numFmtId="1" fontId="3" fillId="0" borderId="0" xfId="0" applyNumberFormat="1" applyFont="1"/>
    <xf numFmtId="0" fontId="7" fillId="2" borderId="5" xfId="0" applyFont="1" applyFill="1" applyBorder="1" applyAlignment="1">
      <alignment wrapText="1"/>
    </xf>
    <xf numFmtId="0" fontId="5" fillId="2" borderId="13" xfId="0" applyFont="1" applyFill="1" applyBorder="1" applyAlignment="1">
      <alignment horizontal="center" wrapText="1"/>
    </xf>
    <xf numFmtId="0" fontId="6" fillId="0" borderId="14" xfId="0" applyFont="1" applyBorder="1"/>
    <xf numFmtId="0" fontId="7" fillId="2" borderId="28" xfId="0" applyFont="1" applyFill="1" applyBorder="1" applyAlignment="1">
      <alignment vertical="center" wrapText="1"/>
    </xf>
    <xf numFmtId="3" fontId="7" fillId="2" borderId="17" xfId="0" applyNumberFormat="1" applyFont="1" applyFill="1" applyBorder="1" applyAlignment="1">
      <alignment horizontal="right" vertical="center" wrapText="1"/>
    </xf>
    <xf numFmtId="0" fontId="7" fillId="2" borderId="30" xfId="0" applyFont="1" applyFill="1" applyBorder="1" applyAlignment="1">
      <alignment vertical="center" wrapText="1"/>
    </xf>
    <xf numFmtId="3" fontId="7" fillId="2" borderId="26" xfId="0" applyNumberFormat="1" applyFont="1" applyFill="1" applyBorder="1" applyAlignment="1">
      <alignment horizontal="right" vertical="center" wrapText="1"/>
    </xf>
    <xf numFmtId="0" fontId="7" fillId="2" borderId="31" xfId="0" applyFont="1" applyFill="1" applyBorder="1" applyAlignment="1">
      <alignment vertical="center" wrapText="1"/>
    </xf>
    <xf numFmtId="3" fontId="7" fillId="2" borderId="32" xfId="0" applyNumberFormat="1" applyFont="1" applyFill="1" applyBorder="1" applyAlignment="1">
      <alignment horizontal="right" vertical="center" wrapText="1"/>
    </xf>
    <xf numFmtId="0" fontId="7" fillId="2" borderId="8" xfId="0" applyFont="1" applyFill="1" applyBorder="1" applyAlignment="1">
      <alignment wrapText="1"/>
    </xf>
    <xf numFmtId="0" fontId="7" fillId="2" borderId="17" xfId="0" applyFont="1" applyFill="1" applyBorder="1" applyAlignment="1">
      <alignment vertical="center" wrapText="1"/>
    </xf>
    <xf numFmtId="0" fontId="7" fillId="2" borderId="26" xfId="0" applyFont="1" applyFill="1" applyBorder="1" applyAlignment="1">
      <alignment vertical="center" wrapText="1"/>
    </xf>
    <xf numFmtId="0" fontId="7" fillId="2" borderId="37" xfId="0" applyFont="1" applyFill="1" applyBorder="1" applyAlignment="1">
      <alignment vertical="center" wrapText="1"/>
    </xf>
    <xf numFmtId="0" fontId="7" fillId="0" borderId="0" xfId="0" applyFont="1"/>
    <xf numFmtId="0" fontId="5" fillId="3" borderId="1" xfId="0" applyFont="1" applyFill="1" applyBorder="1" applyAlignment="1">
      <alignment horizontal="center" wrapText="1"/>
    </xf>
    <xf numFmtId="0" fontId="6" fillId="4" borderId="2" xfId="0" applyFont="1" applyFill="1" applyBorder="1"/>
    <xf numFmtId="0" fontId="5" fillId="5" borderId="19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wrapText="1"/>
    </xf>
    <xf numFmtId="0" fontId="3" fillId="2" borderId="56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5" fillId="5" borderId="57" xfId="0" applyFont="1" applyFill="1" applyBorder="1" applyAlignment="1">
      <alignment horizontal="center" vertical="center" wrapText="1"/>
    </xf>
    <xf numFmtId="0" fontId="6" fillId="6" borderId="58" xfId="0" applyFont="1" applyFill="1" applyBorder="1"/>
    <xf numFmtId="0" fontId="7" fillId="2" borderId="59" xfId="0" applyFont="1" applyFill="1" applyBorder="1" applyAlignment="1">
      <alignment horizontal="left" vertical="center" wrapText="1"/>
    </xf>
    <xf numFmtId="0" fontId="6" fillId="0" borderId="60" xfId="0" applyFont="1" applyBorder="1"/>
    <xf numFmtId="0" fontId="7" fillId="2" borderId="61" xfId="0" applyFont="1" applyFill="1" applyBorder="1" applyAlignment="1">
      <alignment horizontal="left" vertical="center" wrapText="1"/>
    </xf>
    <xf numFmtId="0" fontId="6" fillId="0" borderId="62" xfId="0" applyFont="1" applyBorder="1"/>
    <xf numFmtId="0" fontId="7" fillId="2" borderId="63" xfId="0" applyFont="1" applyFill="1" applyBorder="1" applyAlignment="1">
      <alignment horizontal="left" vertical="center" wrapText="1"/>
    </xf>
    <xf numFmtId="0" fontId="6" fillId="0" borderId="64" xfId="0" applyFont="1" applyBorder="1"/>
    <xf numFmtId="0" fontId="1" fillId="0" borderId="0" xfId="0" applyFont="1" applyAlignment="1"/>
    <xf numFmtId="0" fontId="5" fillId="0" borderId="0" xfId="0" applyFont="1" applyAlignment="1">
      <alignment horizontal="center"/>
    </xf>
    <xf numFmtId="0" fontId="7" fillId="0" borderId="12" xfId="0" applyFont="1" applyBorder="1"/>
    <xf numFmtId="0" fontId="7" fillId="0" borderId="15" xfId="0" applyFont="1" applyBorder="1"/>
    <xf numFmtId="3" fontId="7" fillId="0" borderId="15" xfId="0" applyNumberFormat="1" applyFont="1" applyBorder="1"/>
    <xf numFmtId="0" fontId="7" fillId="0" borderId="18" xfId="0" applyFont="1" applyBorder="1"/>
    <xf numFmtId="0" fontId="7" fillId="0" borderId="21" xfId="0" applyFont="1" applyBorder="1"/>
    <xf numFmtId="0" fontId="7" fillId="0" borderId="23" xfId="0" applyFont="1" applyBorder="1"/>
    <xf numFmtId="3" fontId="7" fillId="0" borderId="23" xfId="0" applyNumberFormat="1" applyFont="1" applyBorder="1"/>
    <xf numFmtId="0" fontId="7" fillId="0" borderId="24" xfId="0" applyFont="1" applyBorder="1"/>
    <xf numFmtId="3" fontId="7" fillId="0" borderId="24" xfId="0" applyNumberFormat="1" applyFont="1" applyBorder="1"/>
    <xf numFmtId="0" fontId="7" fillId="0" borderId="23" xfId="0" applyFont="1" applyBorder="1" applyAlignment="1">
      <alignment horizontal="left"/>
    </xf>
    <xf numFmtId="0" fontId="7" fillId="0" borderId="33" xfId="0" applyFont="1" applyBorder="1"/>
    <xf numFmtId="0" fontId="7" fillId="0" borderId="34" xfId="0" applyFont="1" applyBorder="1"/>
    <xf numFmtId="0" fontId="7" fillId="0" borderId="35" xfId="0" applyFont="1" applyBorder="1"/>
    <xf numFmtId="0" fontId="5" fillId="4" borderId="0" xfId="0" applyFont="1" applyFill="1" applyAlignment="1">
      <alignment horizontal="center"/>
    </xf>
    <xf numFmtId="0" fontId="1" fillId="4" borderId="0" xfId="0" applyFont="1" applyFill="1" applyAlignment="1"/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0" borderId="0" xfId="0" applyFont="1"/>
    <xf numFmtId="0" fontId="7" fillId="0" borderId="15" xfId="0" applyFont="1" applyBorder="1" applyAlignment="1">
      <alignment horizontal="left"/>
    </xf>
    <xf numFmtId="0" fontId="1" fillId="0" borderId="15" xfId="0" applyFont="1" applyBorder="1"/>
    <xf numFmtId="3" fontId="7" fillId="0" borderId="18" xfId="0" applyNumberFormat="1" applyFont="1" applyBorder="1"/>
    <xf numFmtId="0" fontId="1" fillId="0" borderId="21" xfId="0" applyFont="1" applyBorder="1"/>
    <xf numFmtId="0" fontId="1" fillId="0" borderId="23" xfId="0" applyFont="1" applyBorder="1"/>
    <xf numFmtId="3" fontId="7" fillId="0" borderId="35" xfId="0" applyNumberFormat="1" applyFont="1" applyBorder="1"/>
    <xf numFmtId="3" fontId="7" fillId="0" borderId="34" xfId="0" applyNumberFormat="1" applyFont="1" applyBorder="1"/>
    <xf numFmtId="0" fontId="1" fillId="0" borderId="24" xfId="0" applyFont="1" applyBorder="1"/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3" fontId="8" fillId="7" borderId="23" xfId="0" applyNumberFormat="1" applyFont="1" applyFill="1" applyBorder="1" applyAlignment="1">
      <alignment horizontal="center"/>
    </xf>
    <xf numFmtId="3" fontId="8" fillId="7" borderId="24" xfId="0" applyNumberFormat="1" applyFont="1" applyFill="1" applyBorder="1" applyAlignment="1">
      <alignment horizontal="center"/>
    </xf>
    <xf numFmtId="0" fontId="7" fillId="8" borderId="23" xfId="0" applyFont="1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20" xfId="0" applyNumberFormat="1" applyFont="1" applyBorder="1"/>
    <xf numFmtId="0" fontId="7" fillId="0" borderId="25" xfId="0" applyFont="1" applyBorder="1" applyAlignment="1">
      <alignment horizontal="center"/>
    </xf>
    <xf numFmtId="0" fontId="7" fillId="0" borderId="26" xfId="0" applyFont="1" applyBorder="1"/>
    <xf numFmtId="3" fontId="7" fillId="0" borderId="27" xfId="0" applyNumberFormat="1" applyFont="1" applyBorder="1"/>
    <xf numFmtId="0" fontId="7" fillId="0" borderId="27" xfId="0" applyFont="1" applyBorder="1"/>
    <xf numFmtId="3" fontId="7" fillId="0" borderId="26" xfId="0" applyNumberFormat="1" applyFont="1" applyBorder="1"/>
    <xf numFmtId="3" fontId="7" fillId="0" borderId="0" xfId="0" applyNumberFormat="1" applyFont="1"/>
    <xf numFmtId="0" fontId="7" fillId="0" borderId="36" xfId="0" applyFont="1" applyBorder="1" applyAlignment="1">
      <alignment horizontal="center"/>
    </xf>
    <xf numFmtId="0" fontId="7" fillId="0" borderId="37" xfId="0" applyFont="1" applyBorder="1"/>
    <xf numFmtId="0" fontId="7" fillId="0" borderId="38" xfId="0" applyFont="1" applyBorder="1"/>
    <xf numFmtId="3" fontId="7" fillId="0" borderId="37" xfId="0" applyNumberFormat="1" applyFont="1" applyBorder="1"/>
    <xf numFmtId="0" fontId="5" fillId="0" borderId="39" xfId="0" applyFont="1" applyBorder="1" applyAlignment="1">
      <alignment horizontal="center"/>
    </xf>
    <xf numFmtId="0" fontId="6" fillId="0" borderId="40" xfId="0" applyFont="1" applyBorder="1"/>
    <xf numFmtId="0" fontId="5" fillId="9" borderId="7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9" borderId="11" xfId="0" applyFont="1" applyFill="1" applyBorder="1" applyAlignment="1">
      <alignment horizontal="center"/>
    </xf>
    <xf numFmtId="3" fontId="8" fillId="7" borderId="41" xfId="0" applyNumberFormat="1" applyFont="1" applyFill="1" applyBorder="1" applyAlignment="1">
      <alignment horizontal="center"/>
    </xf>
    <xf numFmtId="3" fontId="8" fillId="7" borderId="42" xfId="0" applyNumberFormat="1" applyFont="1" applyFill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6" fillId="0" borderId="44" xfId="0" applyFont="1" applyBorder="1"/>
    <xf numFmtId="0" fontId="7" fillId="0" borderId="45" xfId="0" applyFont="1" applyBorder="1"/>
    <xf numFmtId="0" fontId="5" fillId="0" borderId="21" xfId="0" applyFont="1" applyBorder="1"/>
    <xf numFmtId="3" fontId="8" fillId="7" borderId="34" xfId="0" applyNumberFormat="1" applyFont="1" applyFill="1" applyBorder="1" applyAlignment="1">
      <alignment horizontal="center"/>
    </xf>
    <xf numFmtId="3" fontId="8" fillId="7" borderId="35" xfId="0" applyNumberFormat="1" applyFont="1" applyFill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5" fillId="0" borderId="15" xfId="0" applyFont="1" applyBorder="1"/>
    <xf numFmtId="3" fontId="7" fillId="0" borderId="45" xfId="0" applyNumberFormat="1" applyFont="1" applyBorder="1"/>
    <xf numFmtId="0" fontId="5" fillId="0" borderId="23" xfId="0" applyFont="1" applyBorder="1"/>
    <xf numFmtId="0" fontId="9" fillId="8" borderId="34" xfId="0" applyFont="1" applyFill="1" applyBorder="1" applyAlignment="1">
      <alignment horizontal="center"/>
    </xf>
    <xf numFmtId="0" fontId="5" fillId="10" borderId="46" xfId="0" applyFont="1" applyFill="1" applyBorder="1" applyAlignment="1">
      <alignment horizontal="center" wrapText="1"/>
    </xf>
    <xf numFmtId="0" fontId="6" fillId="4" borderId="47" xfId="0" applyFont="1" applyFill="1" applyBorder="1"/>
    <xf numFmtId="0" fontId="6" fillId="4" borderId="48" xfId="0" applyFont="1" applyFill="1" applyBorder="1"/>
    <xf numFmtId="0" fontId="5" fillId="10" borderId="9" xfId="0" applyFont="1" applyFill="1" applyBorder="1" applyAlignment="1">
      <alignment horizontal="center" vertical="center" wrapText="1"/>
    </xf>
    <xf numFmtId="0" fontId="10" fillId="10" borderId="49" xfId="0" applyFont="1" applyFill="1" applyBorder="1" applyAlignment="1">
      <alignment horizontal="center" wrapText="1"/>
    </xf>
    <xf numFmtId="0" fontId="6" fillId="4" borderId="41" xfId="0" applyFont="1" applyFill="1" applyBorder="1"/>
    <xf numFmtId="0" fontId="7" fillId="12" borderId="50" xfId="0" applyFont="1" applyFill="1" applyBorder="1" applyAlignment="1">
      <alignment wrapText="1"/>
    </xf>
    <xf numFmtId="0" fontId="7" fillId="12" borderId="52" xfId="0" applyFont="1" applyFill="1" applyBorder="1" applyAlignment="1">
      <alignment wrapText="1"/>
    </xf>
    <xf numFmtId="0" fontId="7" fillId="12" borderId="54" xfId="0" applyFont="1" applyFill="1" applyBorder="1"/>
    <xf numFmtId="0" fontId="7" fillId="12" borderId="50" xfId="0" applyFont="1" applyFill="1" applyBorder="1"/>
    <xf numFmtId="0" fontId="7" fillId="12" borderId="51" xfId="0" applyFont="1" applyFill="1" applyBorder="1"/>
    <xf numFmtId="0" fontId="7" fillId="12" borderId="51" xfId="0" applyFont="1" applyFill="1" applyBorder="1" applyAlignment="1">
      <alignment wrapText="1"/>
    </xf>
    <xf numFmtId="0" fontId="7" fillId="12" borderId="50" xfId="0" applyFont="1" applyFill="1" applyBorder="1" applyAlignment="1">
      <alignment vertical="center"/>
    </xf>
    <xf numFmtId="0" fontId="7" fillId="12" borderId="52" xfId="0" applyFont="1" applyFill="1" applyBorder="1"/>
    <xf numFmtId="0" fontId="5" fillId="11" borderId="46" xfId="0" applyFont="1" applyFill="1" applyBorder="1" applyAlignment="1">
      <alignment wrapText="1"/>
    </xf>
    <xf numFmtId="0" fontId="7" fillId="12" borderId="52" xfId="0" applyFont="1" applyFill="1" applyBorder="1" applyAlignment="1">
      <alignment horizontal="right" wrapText="1"/>
    </xf>
    <xf numFmtId="0" fontId="7" fillId="12" borderId="53" xfId="0" applyFont="1" applyFill="1" applyBorder="1" applyAlignment="1">
      <alignment horizontal="right" wrapText="1"/>
    </xf>
    <xf numFmtId="0" fontId="7" fillId="12" borderId="54" xfId="0" applyFont="1" applyFill="1" applyBorder="1" applyAlignment="1">
      <alignment wrapText="1"/>
    </xf>
    <xf numFmtId="0" fontId="6" fillId="4" borderId="3" xfId="0" applyFont="1" applyFill="1" applyBorder="1"/>
    <xf numFmtId="0" fontId="6" fillId="4" borderId="50" xfId="0" applyFont="1" applyFill="1" applyBorder="1"/>
    <xf numFmtId="0" fontId="5" fillId="11" borderId="65" xfId="0" applyFont="1" applyFill="1" applyBorder="1" applyAlignment="1">
      <alignment horizontal="center" wrapText="1"/>
    </xf>
    <xf numFmtId="0" fontId="6" fillId="9" borderId="66" xfId="0" applyFont="1" applyFill="1" applyBorder="1"/>
    <xf numFmtId="0" fontId="7" fillId="12" borderId="67" xfId="0" applyFont="1" applyFill="1" applyBorder="1" applyAlignment="1">
      <alignment wrapText="1"/>
    </xf>
    <xf numFmtId="0" fontId="7" fillId="12" borderId="68" xfId="0" applyFont="1" applyFill="1" applyBorder="1" applyAlignment="1">
      <alignment wrapText="1"/>
    </xf>
    <xf numFmtId="0" fontId="7" fillId="12" borderId="67" xfId="0" applyFont="1" applyFill="1" applyBorder="1" applyAlignment="1">
      <alignment horizontal="center" wrapText="1"/>
    </xf>
    <xf numFmtId="3" fontId="7" fillId="12" borderId="68" xfId="0" applyNumberFormat="1" applyFont="1" applyFill="1" applyBorder="1" applyAlignment="1">
      <alignment horizontal="right" wrapText="1"/>
    </xf>
    <xf numFmtId="0" fontId="7" fillId="12" borderId="69" xfId="0" applyFont="1" applyFill="1" applyBorder="1" applyAlignment="1">
      <alignment horizontal="center" wrapText="1"/>
    </xf>
    <xf numFmtId="164" fontId="5" fillId="12" borderId="70" xfId="0" applyNumberFormat="1" applyFont="1" applyFill="1" applyBorder="1" applyAlignment="1">
      <alignment horizontal="right" wrapText="1"/>
    </xf>
    <xf numFmtId="0" fontId="5" fillId="11" borderId="65" xfId="0" applyFont="1" applyFill="1" applyBorder="1" applyAlignment="1">
      <alignment horizontal="center" vertical="center"/>
    </xf>
    <xf numFmtId="0" fontId="5" fillId="11" borderId="52" xfId="0" applyFont="1" applyFill="1" applyBorder="1" applyAlignment="1">
      <alignment wrapText="1"/>
    </xf>
    <xf numFmtId="2" fontId="5" fillId="12" borderId="70" xfId="0" applyNumberFormat="1" applyFont="1" applyFill="1" applyBorder="1" applyAlignment="1">
      <alignment horizontal="right" wrapText="1"/>
    </xf>
    <xf numFmtId="0" fontId="5" fillId="11" borderId="46" xfId="0" applyFont="1" applyFill="1" applyBorder="1"/>
    <xf numFmtId="0" fontId="7" fillId="12" borderId="52" xfId="0" applyFont="1" applyFill="1" applyBorder="1" applyAlignment="1">
      <alignment horizontal="right"/>
    </xf>
    <xf numFmtId="0" fontId="7" fillId="12" borderId="53" xfId="0" applyFont="1" applyFill="1" applyBorder="1" applyAlignment="1">
      <alignment horizontal="right"/>
    </xf>
    <xf numFmtId="0" fontId="5" fillId="11" borderId="65" xfId="0" applyFont="1" applyFill="1" applyBorder="1" applyAlignment="1">
      <alignment horizontal="center"/>
    </xf>
    <xf numFmtId="0" fontId="7" fillId="12" borderId="67" xfId="0" applyFont="1" applyFill="1" applyBorder="1"/>
    <xf numFmtId="0" fontId="7" fillId="12" borderId="68" xfId="0" applyFont="1" applyFill="1" applyBorder="1"/>
    <xf numFmtId="0" fontId="7" fillId="12" borderId="67" xfId="0" applyFont="1" applyFill="1" applyBorder="1" applyAlignment="1">
      <alignment horizontal="center"/>
    </xf>
    <xf numFmtId="3" fontId="7" fillId="12" borderId="68" xfId="0" applyNumberFormat="1" applyFont="1" applyFill="1" applyBorder="1"/>
    <xf numFmtId="0" fontId="7" fillId="12" borderId="69" xfId="0" applyFont="1" applyFill="1" applyBorder="1" applyAlignment="1">
      <alignment horizontal="center"/>
    </xf>
    <xf numFmtId="164" fontId="5" fillId="12" borderId="7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tabSelected="1" zoomScale="55" zoomScaleNormal="55" workbookViewId="0">
      <selection activeCell="C48" sqref="C48"/>
    </sheetView>
  </sheetViews>
  <sheetFormatPr defaultColWidth="14.453125" defaultRowHeight="15" customHeight="1" x14ac:dyDescent="0.35"/>
  <cols>
    <col min="1" max="1" width="30.453125" customWidth="1"/>
    <col min="2" max="2" width="79.453125" customWidth="1"/>
    <col min="3" max="3" width="66.54296875" customWidth="1"/>
    <col min="4" max="26" width="8.7265625" customWidth="1"/>
  </cols>
  <sheetData>
    <row r="1" spans="1:20" ht="40.5" customHeight="1" x14ac:dyDescent="0.45">
      <c r="A1" s="25" t="s">
        <v>1</v>
      </c>
      <c r="B1" s="26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4.25" customHeight="1" x14ac:dyDescent="0.45">
      <c r="A2" s="11"/>
      <c r="B2" s="11"/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4.25" customHeight="1" x14ac:dyDescent="0.45">
      <c r="A3" s="12" t="s">
        <v>11</v>
      </c>
      <c r="B3" s="1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4.25" customHeight="1" x14ac:dyDescent="0.4">
      <c r="A4" s="27" t="s">
        <v>5</v>
      </c>
      <c r="B4" s="28" t="s">
        <v>18</v>
      </c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4.25" customHeight="1" x14ac:dyDescent="0.4">
      <c r="A5" s="14" t="s">
        <v>22</v>
      </c>
      <c r="B5" s="15">
        <v>45000</v>
      </c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4.25" customHeight="1" x14ac:dyDescent="0.4">
      <c r="A6" s="16" t="s">
        <v>32</v>
      </c>
      <c r="B6" s="17">
        <v>120000</v>
      </c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4.25" customHeight="1" x14ac:dyDescent="0.4">
      <c r="A7" s="16" t="s">
        <v>39</v>
      </c>
      <c r="B7" s="17">
        <v>90000</v>
      </c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4.25" customHeight="1" x14ac:dyDescent="0.4">
      <c r="A8" s="16" t="s">
        <v>43</v>
      </c>
      <c r="B8" s="17">
        <v>60000</v>
      </c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4.25" customHeight="1" x14ac:dyDescent="0.4">
      <c r="A9" s="16" t="s">
        <v>46</v>
      </c>
      <c r="B9" s="17">
        <v>200000</v>
      </c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4.25" customHeight="1" x14ac:dyDescent="0.4">
      <c r="A10" s="16" t="s">
        <v>48</v>
      </c>
      <c r="B10" s="17">
        <v>40000</v>
      </c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4.25" customHeight="1" x14ac:dyDescent="0.4">
      <c r="A11" s="16" t="s">
        <v>50</v>
      </c>
      <c r="B11" s="17">
        <v>70000</v>
      </c>
      <c r="C11" s="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4.25" customHeight="1" x14ac:dyDescent="0.4">
      <c r="A12" s="16" t="s">
        <v>53</v>
      </c>
      <c r="B12" s="17">
        <v>45000</v>
      </c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4.25" customHeight="1" x14ac:dyDescent="0.4">
      <c r="A13" s="16" t="s">
        <v>58</v>
      </c>
      <c r="B13" s="17">
        <v>80000</v>
      </c>
      <c r="C13" s="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4.25" customHeight="1" x14ac:dyDescent="0.4">
      <c r="A14" s="16" t="s">
        <v>61</v>
      </c>
      <c r="B14" s="17">
        <v>40000</v>
      </c>
      <c r="C14" s="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4.25" customHeight="1" x14ac:dyDescent="0.4">
      <c r="A15" s="16" t="s">
        <v>65</v>
      </c>
      <c r="B15" s="17">
        <v>450000</v>
      </c>
      <c r="C15" s="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4.25" customHeight="1" x14ac:dyDescent="0.4">
      <c r="A16" s="18" t="s">
        <v>70</v>
      </c>
      <c r="B16" s="19">
        <v>100000</v>
      </c>
      <c r="C16" s="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4.25" customHeight="1" x14ac:dyDescent="0.45">
      <c r="A17" s="20"/>
      <c r="B17" s="20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4.25" customHeight="1" x14ac:dyDescent="0.45">
      <c r="A18" s="12" t="s">
        <v>78</v>
      </c>
      <c r="B18" s="13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4.25" customHeight="1" x14ac:dyDescent="0.4">
      <c r="A19" s="27" t="s">
        <v>3</v>
      </c>
      <c r="B19" s="28" t="s">
        <v>82</v>
      </c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4.25" customHeight="1" x14ac:dyDescent="0.4">
      <c r="A20" s="14" t="s">
        <v>84</v>
      </c>
      <c r="B20" s="21" t="s">
        <v>85</v>
      </c>
      <c r="C20" s="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4.25" customHeight="1" x14ac:dyDescent="0.4">
      <c r="A21" s="16" t="s">
        <v>92</v>
      </c>
      <c r="B21" s="22" t="s">
        <v>93</v>
      </c>
      <c r="C21" s="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4.25" customHeight="1" x14ac:dyDescent="0.4">
      <c r="A22" s="16" t="s">
        <v>96</v>
      </c>
      <c r="B22" s="22" t="s">
        <v>98</v>
      </c>
      <c r="C22" s="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4.25" customHeight="1" x14ac:dyDescent="0.4">
      <c r="A23" s="16" t="s">
        <v>101</v>
      </c>
      <c r="B23" s="22" t="s">
        <v>102</v>
      </c>
      <c r="C23" s="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4.25" customHeight="1" x14ac:dyDescent="0.4">
      <c r="A24" s="16" t="s">
        <v>104</v>
      </c>
      <c r="B24" s="22" t="s">
        <v>105</v>
      </c>
      <c r="C24" s="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4.25" customHeight="1" x14ac:dyDescent="0.4">
      <c r="A25" s="16" t="s">
        <v>109</v>
      </c>
      <c r="B25" s="22" t="s">
        <v>111</v>
      </c>
      <c r="C25" s="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4.25" customHeight="1" x14ac:dyDescent="0.4">
      <c r="A26" s="16" t="s">
        <v>115</v>
      </c>
      <c r="B26" s="22" t="s">
        <v>116</v>
      </c>
      <c r="C26" s="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4.25" customHeight="1" x14ac:dyDescent="0.4">
      <c r="A27" s="16" t="s">
        <v>119</v>
      </c>
      <c r="B27" s="22" t="s">
        <v>121</v>
      </c>
      <c r="C27" s="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4.25" customHeight="1" x14ac:dyDescent="0.4">
      <c r="A28" s="16" t="s">
        <v>125</v>
      </c>
      <c r="B28" s="22" t="s">
        <v>128</v>
      </c>
      <c r="C28" s="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4.25" customHeight="1" x14ac:dyDescent="0.4">
      <c r="A29" s="16" t="s">
        <v>131</v>
      </c>
      <c r="B29" s="22" t="s">
        <v>133</v>
      </c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4.25" customHeight="1" x14ac:dyDescent="0.4">
      <c r="A30" s="16" t="s">
        <v>139</v>
      </c>
      <c r="B30" s="22" t="s">
        <v>140</v>
      </c>
      <c r="C30" s="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4.25" customHeight="1" x14ac:dyDescent="0.4">
      <c r="A31" s="16" t="s">
        <v>147</v>
      </c>
      <c r="B31" s="22" t="s">
        <v>148</v>
      </c>
      <c r="C31" s="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4.25" customHeight="1" x14ac:dyDescent="0.4">
      <c r="A32" s="16" t="s">
        <v>152</v>
      </c>
      <c r="B32" s="22" t="s">
        <v>153</v>
      </c>
      <c r="C32" s="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4.25" customHeight="1" x14ac:dyDescent="0.4">
      <c r="A33" s="16" t="s">
        <v>155</v>
      </c>
      <c r="B33" s="22" t="s">
        <v>157</v>
      </c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4.25" customHeight="1" x14ac:dyDescent="0.4">
      <c r="A34" s="16" t="s">
        <v>160</v>
      </c>
      <c r="B34" s="22" t="s">
        <v>162</v>
      </c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4.25" customHeight="1" x14ac:dyDescent="0.4">
      <c r="A35" s="16" t="s">
        <v>164</v>
      </c>
      <c r="B35" s="22" t="s">
        <v>166</v>
      </c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4.25" customHeight="1" x14ac:dyDescent="0.4">
      <c r="A36" s="16" t="s">
        <v>167</v>
      </c>
      <c r="B36" s="22" t="s">
        <v>168</v>
      </c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4.25" customHeight="1" x14ac:dyDescent="0.4">
      <c r="A37" s="16" t="s">
        <v>171</v>
      </c>
      <c r="B37" s="22" t="s">
        <v>172</v>
      </c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4.25" customHeight="1" x14ac:dyDescent="0.4">
      <c r="A38" s="16" t="s">
        <v>176</v>
      </c>
      <c r="B38" s="22" t="s">
        <v>177</v>
      </c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4.25" customHeight="1" x14ac:dyDescent="0.4">
      <c r="A39" s="16" t="s">
        <v>179</v>
      </c>
      <c r="B39" s="22" t="s">
        <v>180</v>
      </c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4.25" customHeight="1" x14ac:dyDescent="0.4">
      <c r="A40" s="16" t="s">
        <v>183</v>
      </c>
      <c r="B40" s="22" t="s">
        <v>184</v>
      </c>
      <c r="C40" s="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4.25" customHeight="1" x14ac:dyDescent="0.4">
      <c r="A41" s="16" t="s">
        <v>187</v>
      </c>
      <c r="B41" s="22" t="s">
        <v>188</v>
      </c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4.25" customHeight="1" x14ac:dyDescent="0.4">
      <c r="A42" s="16" t="s">
        <v>190</v>
      </c>
      <c r="B42" s="22" t="s">
        <v>191</v>
      </c>
      <c r="C42" s="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4.25" customHeight="1" x14ac:dyDescent="0.4">
      <c r="A43" s="16" t="s">
        <v>193</v>
      </c>
      <c r="B43" s="22" t="s">
        <v>195</v>
      </c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4.25" customHeight="1" x14ac:dyDescent="0.4">
      <c r="A44" s="16" t="s">
        <v>196</v>
      </c>
      <c r="B44" s="22" t="s">
        <v>197</v>
      </c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4.25" customHeight="1" x14ac:dyDescent="0.4">
      <c r="A45" s="16" t="s">
        <v>198</v>
      </c>
      <c r="B45" s="22" t="s">
        <v>199</v>
      </c>
      <c r="C45" s="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4.25" customHeight="1" x14ac:dyDescent="0.4">
      <c r="A46" s="16" t="s">
        <v>202</v>
      </c>
      <c r="B46" s="22" t="s">
        <v>203</v>
      </c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4.25" customHeight="1" x14ac:dyDescent="0.4">
      <c r="A47" s="16" t="s">
        <v>204</v>
      </c>
      <c r="B47" s="22" t="s">
        <v>205</v>
      </c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4.25" customHeight="1" x14ac:dyDescent="0.4">
      <c r="A48" s="18" t="s">
        <v>207</v>
      </c>
      <c r="B48" s="23" t="s">
        <v>209</v>
      </c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4.25" customHeight="1" thickBot="1" x14ac:dyDescent="0.5">
      <c r="A49" s="29"/>
      <c r="B49" s="29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4.25" customHeight="1" thickBot="1" x14ac:dyDescent="0.45">
      <c r="A50" s="32" t="s">
        <v>213</v>
      </c>
      <c r="B50" s="33"/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8" customHeight="1" thickBot="1" x14ac:dyDescent="0.45">
      <c r="A51" s="34" t="s">
        <v>216</v>
      </c>
      <c r="B51" s="35"/>
      <c r="C51" s="8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8" customHeight="1" thickBot="1" x14ac:dyDescent="0.45">
      <c r="A52" s="36" t="s">
        <v>219</v>
      </c>
      <c r="B52" s="37"/>
      <c r="C52" s="8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8" customHeight="1" thickBot="1" x14ac:dyDescent="0.45">
      <c r="A53" s="36" t="s">
        <v>222</v>
      </c>
      <c r="B53" s="37"/>
      <c r="C53" s="8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8" customHeight="1" thickBot="1" x14ac:dyDescent="0.45">
      <c r="A54" s="36" t="s">
        <v>223</v>
      </c>
      <c r="B54" s="37"/>
      <c r="C54" s="8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8" customHeight="1" thickBot="1" x14ac:dyDescent="0.45">
      <c r="A55" s="36" t="s">
        <v>225</v>
      </c>
      <c r="B55" s="37"/>
      <c r="C55" s="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8" customHeight="1" x14ac:dyDescent="0.4">
      <c r="A56" s="36" t="s">
        <v>226</v>
      </c>
      <c r="B56" s="37"/>
      <c r="C56" s="3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4.25" customHeight="1" x14ac:dyDescent="0.4">
      <c r="A57" s="36" t="s">
        <v>228</v>
      </c>
      <c r="B57" s="37"/>
      <c r="C57" s="3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8" customHeight="1" thickBot="1" x14ac:dyDescent="0.45">
      <c r="A58" s="38" t="s">
        <v>231</v>
      </c>
      <c r="B58" s="39"/>
      <c r="C58" s="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4.25" customHeight="1" x14ac:dyDescent="0.45">
      <c r="A59" s="24"/>
      <c r="B59" s="2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4.2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4.2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4.2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4.2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4.2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4.2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4.2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4.2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4.2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4.2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4.2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4.2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4.2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4.2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4.2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4.2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4.2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4.2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4.2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4.2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4.2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4.2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4.2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4.2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4.2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4.2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4.2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4.2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4.2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4.2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4.2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4.2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4.2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4.2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4.2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4.2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4.2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4.2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4.2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4.2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4.2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4.2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4.2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4.2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4.2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4.2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4.2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4.2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4.2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4.2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4.2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4.2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4.2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4.2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4.2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4.2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4.2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4.2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4.2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4.2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4.2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4.2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4.2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4.2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4.2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4.2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4.2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4.2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4.2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4.2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4.2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4.2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4.2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4.2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4.2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4.2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4.2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4.2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4.2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4.2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4.2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4.2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4.2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4.2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4.2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4.2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4.2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4.2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4.2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4.2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4.2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4.2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4.2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4.2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4.2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4.2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4.2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4.2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4.2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4.2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4.2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4.2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4.2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4.2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4.2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4.2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4.2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4.2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4.2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4.2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4.2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4.2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4.2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4.2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4.2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4.2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4.2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4.2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4.2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4.2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4.2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4.2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4.2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4.2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4.2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4.2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4.2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4.2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4.2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4.2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4.2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4.2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4.2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4.2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4.2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4.2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4.2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4.2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4.2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4.2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4.2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4.2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4.2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4.2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4.2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4.2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4.2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4.2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4.2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4.2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4.2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4.2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4.2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4.2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4.2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4.2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4.2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4.2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4.2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4.2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4.2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4.2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4.2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4.2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4.2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4.2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4.2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4.2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4.2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4.2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4.2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4.2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4.2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4.2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4.2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4.2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4.2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4.2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4.2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4.2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4.2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4.2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4.2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4.2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4.2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4.2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4.2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4.2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4.2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4.2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4.2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4.2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4.2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4.2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4.2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4.2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4.2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4.2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4.2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4.25" customHeight="1" x14ac:dyDescent="0.35"/>
    <row r="260" spans="1:20" ht="14.25" customHeight="1" x14ac:dyDescent="0.35"/>
    <row r="261" spans="1:20" ht="14.25" customHeight="1" x14ac:dyDescent="0.35"/>
    <row r="262" spans="1:20" ht="14.25" customHeight="1" x14ac:dyDescent="0.35"/>
    <row r="263" spans="1:20" ht="14.25" customHeight="1" x14ac:dyDescent="0.35"/>
    <row r="264" spans="1:20" ht="14.25" customHeight="1" x14ac:dyDescent="0.35"/>
    <row r="265" spans="1:20" ht="14.25" customHeight="1" x14ac:dyDescent="0.35"/>
    <row r="266" spans="1:20" ht="14.25" customHeight="1" x14ac:dyDescent="0.35"/>
    <row r="267" spans="1:20" ht="14.25" customHeight="1" x14ac:dyDescent="0.35"/>
    <row r="268" spans="1:20" ht="14.25" customHeight="1" x14ac:dyDescent="0.35"/>
    <row r="269" spans="1:20" ht="14.25" customHeight="1" x14ac:dyDescent="0.35"/>
    <row r="270" spans="1:20" ht="14.25" customHeight="1" x14ac:dyDescent="0.35"/>
    <row r="271" spans="1:20" ht="14.25" customHeight="1" x14ac:dyDescent="0.35"/>
    <row r="272" spans="1:20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2">
    <mergeCell ref="A52:B52"/>
    <mergeCell ref="A53:B53"/>
    <mergeCell ref="A1:B1"/>
    <mergeCell ref="A3:B3"/>
    <mergeCell ref="A18:B18"/>
    <mergeCell ref="A50:B50"/>
    <mergeCell ref="A51:B51"/>
    <mergeCell ref="A54:B54"/>
    <mergeCell ref="A55:B55"/>
    <mergeCell ref="A56:B56"/>
    <mergeCell ref="A57:B57"/>
    <mergeCell ref="A58:B58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A3" sqref="A3:F3"/>
    </sheetView>
  </sheetViews>
  <sheetFormatPr defaultColWidth="14.453125" defaultRowHeight="15" customHeight="1" x14ac:dyDescent="0.35"/>
  <cols>
    <col min="1" max="1" width="13.81640625" customWidth="1"/>
    <col min="2" max="2" width="64.54296875" customWidth="1"/>
    <col min="3" max="3" width="4.453125" customWidth="1"/>
    <col min="4" max="4" width="8.7265625" customWidth="1"/>
    <col min="5" max="5" width="17.08984375" customWidth="1"/>
    <col min="6" max="6" width="17.26953125" customWidth="1"/>
    <col min="7" max="26" width="8.7265625" customWidth="1"/>
  </cols>
  <sheetData>
    <row r="1" spans="1:26" ht="14.25" customHeight="1" x14ac:dyDescent="0.45">
      <c r="A1" s="55" t="s">
        <v>2</v>
      </c>
      <c r="B1" s="56"/>
      <c r="C1" s="56"/>
      <c r="D1" s="56"/>
      <c r="E1" s="56"/>
      <c r="F1" s="5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5">
      <c r="A2" s="24"/>
      <c r="B2" s="24"/>
      <c r="C2" s="24"/>
      <c r="D2" s="24"/>
      <c r="E2" s="24"/>
      <c r="F2" s="2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45">
      <c r="A3" s="57" t="s">
        <v>3</v>
      </c>
      <c r="B3" s="58" t="s">
        <v>5</v>
      </c>
      <c r="C3" s="58"/>
      <c r="D3" s="58" t="s">
        <v>7</v>
      </c>
      <c r="E3" s="58" t="s">
        <v>8</v>
      </c>
      <c r="F3" s="59" t="s">
        <v>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45">
      <c r="A4" s="42" t="s">
        <v>12</v>
      </c>
      <c r="B4" s="43" t="s">
        <v>13</v>
      </c>
      <c r="C4" s="43" t="s">
        <v>14</v>
      </c>
      <c r="D4" s="43"/>
      <c r="E4" s="44">
        <v>45000</v>
      </c>
      <c r="F4" s="4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45">
      <c r="A5" s="46"/>
      <c r="B5" s="47" t="s">
        <v>20</v>
      </c>
      <c r="C5" s="47" t="s">
        <v>14</v>
      </c>
      <c r="D5" s="47"/>
      <c r="E5" s="48">
        <v>120000</v>
      </c>
      <c r="F5" s="4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45">
      <c r="A6" s="46"/>
      <c r="B6" s="47" t="s">
        <v>23</v>
      </c>
      <c r="C6" s="47" t="s">
        <v>14</v>
      </c>
      <c r="D6" s="47"/>
      <c r="E6" s="48">
        <v>90000</v>
      </c>
      <c r="F6" s="4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45">
      <c r="A7" s="46"/>
      <c r="B7" s="47" t="s">
        <v>24</v>
      </c>
      <c r="C7" s="47" t="s">
        <v>14</v>
      </c>
      <c r="D7" s="47"/>
      <c r="E7" s="48">
        <v>60000</v>
      </c>
      <c r="F7" s="4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45">
      <c r="A8" s="46"/>
      <c r="B8" s="47" t="s">
        <v>26</v>
      </c>
      <c r="C8" s="47" t="s">
        <v>14</v>
      </c>
      <c r="D8" s="47"/>
      <c r="E8" s="48">
        <v>200000</v>
      </c>
      <c r="F8" s="4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45">
      <c r="A9" s="46"/>
      <c r="B9" s="47" t="s">
        <v>29</v>
      </c>
      <c r="C9" s="47" t="s">
        <v>14</v>
      </c>
      <c r="D9" s="47"/>
      <c r="E9" s="48">
        <v>40000</v>
      </c>
      <c r="F9" s="4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45">
      <c r="A10" s="46"/>
      <c r="B10" s="47" t="s">
        <v>31</v>
      </c>
      <c r="C10" s="47" t="s">
        <v>14</v>
      </c>
      <c r="D10" s="47"/>
      <c r="E10" s="48">
        <v>70000</v>
      </c>
      <c r="F10" s="4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45">
      <c r="A11" s="46"/>
      <c r="B11" s="47" t="s">
        <v>34</v>
      </c>
      <c r="C11" s="47" t="s">
        <v>14</v>
      </c>
      <c r="D11" s="47"/>
      <c r="E11" s="48">
        <v>45000</v>
      </c>
      <c r="F11" s="4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45">
      <c r="A12" s="46"/>
      <c r="B12" s="47" t="s">
        <v>36</v>
      </c>
      <c r="C12" s="47"/>
      <c r="D12" s="47"/>
      <c r="E12" s="47"/>
      <c r="F12" s="50">
        <v>80000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45">
      <c r="A13" s="46"/>
      <c r="B13" s="47" t="s">
        <v>41</v>
      </c>
      <c r="C13" s="47"/>
      <c r="D13" s="47"/>
      <c r="E13" s="47"/>
      <c r="F13" s="50">
        <v>40000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45">
      <c r="A14" s="46"/>
      <c r="B14" s="47" t="s">
        <v>42</v>
      </c>
      <c r="C14" s="47"/>
      <c r="D14" s="47"/>
      <c r="E14" s="47"/>
      <c r="F14" s="50">
        <v>100000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45">
      <c r="A15" s="46"/>
      <c r="B15" s="47" t="s">
        <v>45</v>
      </c>
      <c r="C15" s="47"/>
      <c r="D15" s="47"/>
      <c r="E15" s="47"/>
      <c r="F15" s="50">
        <f>SUM(E4:E11)-SUM(F12:F14)</f>
        <v>450000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45">
      <c r="A16" s="46"/>
      <c r="B16" s="51" t="s">
        <v>54</v>
      </c>
      <c r="C16" s="47"/>
      <c r="D16" s="47"/>
      <c r="E16" s="47"/>
      <c r="F16" s="4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45">
      <c r="A17" s="46" t="s">
        <v>56</v>
      </c>
      <c r="B17" s="47" t="s">
        <v>57</v>
      </c>
      <c r="C17" s="47" t="s">
        <v>14</v>
      </c>
      <c r="D17" s="47"/>
      <c r="E17" s="48">
        <v>110000</v>
      </c>
      <c r="F17" s="4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45">
      <c r="A18" s="46"/>
      <c r="B18" s="47" t="s">
        <v>36</v>
      </c>
      <c r="C18" s="47"/>
      <c r="D18" s="47"/>
      <c r="E18" s="47"/>
      <c r="F18" s="50">
        <v>110000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45">
      <c r="A19" s="46"/>
      <c r="B19" s="47" t="s">
        <v>63</v>
      </c>
      <c r="C19" s="47"/>
      <c r="D19" s="47"/>
      <c r="E19" s="47"/>
      <c r="F19" s="4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45">
      <c r="A20" s="46" t="s">
        <v>66</v>
      </c>
      <c r="B20" s="47" t="s">
        <v>57</v>
      </c>
      <c r="C20" s="47" t="s">
        <v>14</v>
      </c>
      <c r="D20" s="47"/>
      <c r="E20" s="48">
        <v>35000</v>
      </c>
      <c r="F20" s="4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45">
      <c r="A21" s="46"/>
      <c r="B21" s="47" t="s">
        <v>69</v>
      </c>
      <c r="C21" s="47"/>
      <c r="D21" s="47"/>
      <c r="E21" s="47"/>
      <c r="F21" s="50">
        <v>35000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45">
      <c r="A22" s="46"/>
      <c r="B22" s="47" t="s">
        <v>73</v>
      </c>
      <c r="C22" s="47"/>
      <c r="D22" s="47"/>
      <c r="E22" s="47"/>
      <c r="F22" s="4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45">
      <c r="A23" s="46" t="s">
        <v>75</v>
      </c>
      <c r="B23" s="47" t="s">
        <v>31</v>
      </c>
      <c r="C23" s="47" t="s">
        <v>14</v>
      </c>
      <c r="D23" s="47"/>
      <c r="E23" s="48">
        <v>160000</v>
      </c>
      <c r="F23" s="4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45">
      <c r="A24" s="46"/>
      <c r="B24" s="47" t="s">
        <v>77</v>
      </c>
      <c r="C24" s="47"/>
      <c r="D24" s="47"/>
      <c r="E24" s="47"/>
      <c r="F24" s="50">
        <v>160000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45">
      <c r="A25" s="46"/>
      <c r="B25" s="47" t="s">
        <v>79</v>
      </c>
      <c r="C25" s="47"/>
      <c r="D25" s="47"/>
      <c r="E25" s="47"/>
      <c r="F25" s="4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45">
      <c r="A26" s="46" t="s">
        <v>80</v>
      </c>
      <c r="B26" s="47" t="s">
        <v>13</v>
      </c>
      <c r="C26" s="47" t="s">
        <v>14</v>
      </c>
      <c r="D26" s="47"/>
      <c r="E26" s="48">
        <v>75000</v>
      </c>
      <c r="F26" s="4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45">
      <c r="A27" s="46"/>
      <c r="B27" s="47" t="s">
        <v>77</v>
      </c>
      <c r="C27" s="47"/>
      <c r="D27" s="47"/>
      <c r="E27" s="47"/>
      <c r="F27" s="50">
        <v>75000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45">
      <c r="A28" s="46"/>
      <c r="B28" s="47" t="s">
        <v>86</v>
      </c>
      <c r="C28" s="47"/>
      <c r="D28" s="47"/>
      <c r="E28" s="47"/>
      <c r="F28" s="4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45">
      <c r="A29" s="46" t="s">
        <v>89</v>
      </c>
      <c r="B29" s="47" t="s">
        <v>47</v>
      </c>
      <c r="C29" s="47" t="s">
        <v>14</v>
      </c>
      <c r="D29" s="47"/>
      <c r="E29" s="48">
        <v>4500</v>
      </c>
      <c r="F29" s="4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45">
      <c r="A30" s="46"/>
      <c r="B30" s="47" t="s">
        <v>69</v>
      </c>
      <c r="C30" s="47"/>
      <c r="D30" s="47"/>
      <c r="E30" s="47"/>
      <c r="F30" s="50">
        <v>4500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45">
      <c r="A31" s="46"/>
      <c r="B31" s="47" t="s">
        <v>95</v>
      </c>
      <c r="C31" s="47"/>
      <c r="D31" s="47"/>
      <c r="E31" s="47"/>
      <c r="F31" s="4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45">
      <c r="A32" s="46" t="s">
        <v>100</v>
      </c>
      <c r="B32" s="47" t="s">
        <v>49</v>
      </c>
      <c r="C32" s="47" t="s">
        <v>14</v>
      </c>
      <c r="D32" s="47"/>
      <c r="E32" s="48">
        <v>15000</v>
      </c>
      <c r="F32" s="49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45">
      <c r="A33" s="46"/>
      <c r="B33" s="47" t="s">
        <v>69</v>
      </c>
      <c r="C33" s="47"/>
      <c r="D33" s="47"/>
      <c r="E33" s="47"/>
      <c r="F33" s="50">
        <v>15000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45">
      <c r="A34" s="46"/>
      <c r="B34" s="47" t="s">
        <v>107</v>
      </c>
      <c r="C34" s="47"/>
      <c r="D34" s="47"/>
      <c r="E34" s="47"/>
      <c r="F34" s="49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45">
      <c r="A35" s="46" t="s">
        <v>108</v>
      </c>
      <c r="B35" s="47" t="s">
        <v>33</v>
      </c>
      <c r="C35" s="47" t="s">
        <v>14</v>
      </c>
      <c r="D35" s="47"/>
      <c r="E35" s="48">
        <v>12000</v>
      </c>
      <c r="F35" s="4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45">
      <c r="A36" s="46"/>
      <c r="B36" s="47" t="s">
        <v>113</v>
      </c>
      <c r="C36" s="47"/>
      <c r="D36" s="47"/>
      <c r="E36" s="47"/>
      <c r="F36" s="50">
        <v>12000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45">
      <c r="A37" s="46"/>
      <c r="B37" s="47" t="s">
        <v>117</v>
      </c>
      <c r="C37" s="47"/>
      <c r="D37" s="47"/>
      <c r="E37" s="47"/>
      <c r="F37" s="4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45">
      <c r="A38" s="46" t="s">
        <v>123</v>
      </c>
      <c r="B38" s="47" t="s">
        <v>55</v>
      </c>
      <c r="C38" s="47" t="s">
        <v>14</v>
      </c>
      <c r="D38" s="47"/>
      <c r="E38" s="48">
        <v>10000</v>
      </c>
      <c r="F38" s="49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45">
      <c r="A39" s="46"/>
      <c r="B39" s="47" t="s">
        <v>127</v>
      </c>
      <c r="C39" s="47"/>
      <c r="D39" s="47"/>
      <c r="E39" s="47"/>
      <c r="F39" s="50">
        <v>10000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45">
      <c r="A40" s="46"/>
      <c r="B40" s="47" t="s">
        <v>130</v>
      </c>
      <c r="C40" s="47"/>
      <c r="D40" s="47"/>
      <c r="E40" s="47"/>
      <c r="F40" s="49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45">
      <c r="A41" s="46" t="s">
        <v>136</v>
      </c>
      <c r="B41" s="47" t="s">
        <v>137</v>
      </c>
      <c r="C41" s="47" t="s">
        <v>14</v>
      </c>
      <c r="D41" s="47"/>
      <c r="E41" s="48">
        <v>50000</v>
      </c>
      <c r="F41" s="49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45">
      <c r="A42" s="46"/>
      <c r="B42" s="47" t="s">
        <v>141</v>
      </c>
      <c r="C42" s="47"/>
      <c r="D42" s="47"/>
      <c r="E42" s="47"/>
      <c r="F42" s="50">
        <v>50000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45">
      <c r="A43" s="46"/>
      <c r="B43" s="47" t="s">
        <v>149</v>
      </c>
      <c r="C43" s="47"/>
      <c r="D43" s="47"/>
      <c r="E43" s="47"/>
      <c r="F43" s="49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45">
      <c r="A44" s="46" t="s">
        <v>135</v>
      </c>
      <c r="B44" s="47" t="s">
        <v>64</v>
      </c>
      <c r="C44" s="47" t="s">
        <v>14</v>
      </c>
      <c r="D44" s="47"/>
      <c r="E44" s="48">
        <v>22000</v>
      </c>
      <c r="F44" s="4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45">
      <c r="A45" s="46"/>
      <c r="B45" s="47" t="s">
        <v>69</v>
      </c>
      <c r="C45" s="47"/>
      <c r="D45" s="47"/>
      <c r="E45" s="47"/>
      <c r="F45" s="50">
        <v>22000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45">
      <c r="A46" s="46"/>
      <c r="B46" s="47" t="s">
        <v>163</v>
      </c>
      <c r="C46" s="47"/>
      <c r="D46" s="47"/>
      <c r="E46" s="47"/>
      <c r="F46" s="4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45">
      <c r="A47" s="46" t="s">
        <v>124</v>
      </c>
      <c r="B47" s="47" t="s">
        <v>13</v>
      </c>
      <c r="C47" s="47" t="s">
        <v>14</v>
      </c>
      <c r="D47" s="47"/>
      <c r="E47" s="48">
        <v>210000</v>
      </c>
      <c r="F47" s="49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45">
      <c r="A48" s="46"/>
      <c r="B48" s="47" t="s">
        <v>68</v>
      </c>
      <c r="C48" s="47" t="s">
        <v>14</v>
      </c>
      <c r="D48" s="47"/>
      <c r="E48" s="48">
        <v>6000</v>
      </c>
      <c r="F48" s="4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45">
      <c r="A49" s="46"/>
      <c r="B49" s="47" t="s">
        <v>127</v>
      </c>
      <c r="C49" s="47"/>
      <c r="D49" s="47"/>
      <c r="E49" s="47"/>
      <c r="F49" s="50">
        <f>SUM(E47:E48)</f>
        <v>216000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45">
      <c r="A50" s="46"/>
      <c r="B50" s="47" t="s">
        <v>178</v>
      </c>
      <c r="C50" s="47"/>
      <c r="D50" s="47"/>
      <c r="E50" s="47"/>
      <c r="F50" s="4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45">
      <c r="A51" s="46" t="s">
        <v>185</v>
      </c>
      <c r="B51" s="47" t="s">
        <v>33</v>
      </c>
      <c r="C51" s="47" t="s">
        <v>14</v>
      </c>
      <c r="D51" s="47"/>
      <c r="E51" s="48">
        <f>SUM(F52:F53)</f>
        <v>157000</v>
      </c>
      <c r="F51" s="4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45">
      <c r="A52" s="46"/>
      <c r="B52" s="47" t="s">
        <v>141</v>
      </c>
      <c r="C52" s="47"/>
      <c r="D52" s="47"/>
      <c r="E52" s="48"/>
      <c r="F52" s="50">
        <v>150000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45">
      <c r="A53" s="46"/>
      <c r="B53" s="47" t="s">
        <v>192</v>
      </c>
      <c r="C53" s="47"/>
      <c r="D53" s="47"/>
      <c r="E53" s="47"/>
      <c r="F53" s="50">
        <v>7000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45">
      <c r="A54" s="46"/>
      <c r="B54" s="47" t="s">
        <v>194</v>
      </c>
      <c r="C54" s="47"/>
      <c r="D54" s="47"/>
      <c r="E54" s="47"/>
      <c r="F54" s="4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45">
      <c r="A55" s="46" t="s">
        <v>145</v>
      </c>
      <c r="B55" s="47" t="s">
        <v>74</v>
      </c>
      <c r="C55" s="47" t="s">
        <v>14</v>
      </c>
      <c r="D55" s="47"/>
      <c r="E55" s="48">
        <v>18000</v>
      </c>
      <c r="F55" s="4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45">
      <c r="A56" s="46"/>
      <c r="B56" s="47" t="s">
        <v>69</v>
      </c>
      <c r="C56" s="47"/>
      <c r="D56" s="47"/>
      <c r="E56" s="47"/>
      <c r="F56" s="50">
        <v>18000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45">
      <c r="A57" s="46"/>
      <c r="B57" s="47" t="s">
        <v>200</v>
      </c>
      <c r="C57" s="47"/>
      <c r="D57" s="47"/>
      <c r="E57" s="47"/>
      <c r="F57" s="4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45">
      <c r="A58" s="46" t="s">
        <v>201</v>
      </c>
      <c r="B58" s="47" t="s">
        <v>57</v>
      </c>
      <c r="C58" s="47" t="s">
        <v>14</v>
      </c>
      <c r="D58" s="47"/>
      <c r="E58" s="48">
        <v>85000</v>
      </c>
      <c r="F58" s="4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45">
      <c r="A59" s="46"/>
      <c r="B59" s="47" t="s">
        <v>41</v>
      </c>
      <c r="C59" s="47"/>
      <c r="D59" s="47"/>
      <c r="E59" s="47"/>
      <c r="F59" s="50">
        <v>85000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45">
      <c r="A60" s="46"/>
      <c r="B60" s="47" t="s">
        <v>206</v>
      </c>
      <c r="C60" s="47"/>
      <c r="D60" s="47"/>
      <c r="E60" s="47"/>
      <c r="F60" s="4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45">
      <c r="A61" s="46" t="s">
        <v>208</v>
      </c>
      <c r="B61" s="47" t="s">
        <v>34</v>
      </c>
      <c r="C61" s="47" t="s">
        <v>14</v>
      </c>
      <c r="D61" s="47"/>
      <c r="E61" s="48">
        <v>120000</v>
      </c>
      <c r="F61" s="4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45">
      <c r="A62" s="46"/>
      <c r="B62" s="47" t="s">
        <v>77</v>
      </c>
      <c r="C62" s="47"/>
      <c r="D62" s="47"/>
      <c r="E62" s="47"/>
      <c r="F62" s="50">
        <v>120000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45">
      <c r="A63" s="46"/>
      <c r="B63" s="47" t="s">
        <v>211</v>
      </c>
      <c r="C63" s="47"/>
      <c r="D63" s="47"/>
      <c r="E63" s="47"/>
      <c r="F63" s="4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45">
      <c r="A64" s="46" t="s">
        <v>212</v>
      </c>
      <c r="B64" s="47" t="s">
        <v>20</v>
      </c>
      <c r="C64" s="47" t="s">
        <v>14</v>
      </c>
      <c r="D64" s="47"/>
      <c r="E64" s="48">
        <v>110000</v>
      </c>
      <c r="F64" s="4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45">
      <c r="A65" s="46"/>
      <c r="B65" s="47" t="s">
        <v>214</v>
      </c>
      <c r="C65" s="47"/>
      <c r="D65" s="47"/>
      <c r="E65" s="47"/>
      <c r="F65" s="50">
        <v>110000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45">
      <c r="A66" s="46"/>
      <c r="B66" s="47" t="s">
        <v>215</v>
      </c>
      <c r="C66" s="47"/>
      <c r="D66" s="47"/>
      <c r="E66" s="47"/>
      <c r="F66" s="4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45">
      <c r="A67" s="46" t="s">
        <v>150</v>
      </c>
      <c r="B67" s="47" t="s">
        <v>81</v>
      </c>
      <c r="C67" s="47" t="s">
        <v>14</v>
      </c>
      <c r="D67" s="47"/>
      <c r="E67" s="48">
        <v>5500</v>
      </c>
      <c r="F67" s="4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45">
      <c r="A68" s="46"/>
      <c r="B68" s="47" t="s">
        <v>69</v>
      </c>
      <c r="C68" s="47"/>
      <c r="D68" s="47"/>
      <c r="E68" s="47"/>
      <c r="F68" s="50">
        <v>5500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45">
      <c r="A69" s="46"/>
      <c r="B69" s="47" t="s">
        <v>218</v>
      </c>
      <c r="C69" s="47"/>
      <c r="D69" s="47"/>
      <c r="E69" s="47"/>
      <c r="F69" s="4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45">
      <c r="A70" s="46" t="s">
        <v>132</v>
      </c>
      <c r="B70" s="47" t="s">
        <v>13</v>
      </c>
      <c r="C70" s="47" t="s">
        <v>14</v>
      </c>
      <c r="D70" s="47"/>
      <c r="E70" s="48">
        <v>9000</v>
      </c>
      <c r="F70" s="4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45">
      <c r="A71" s="46"/>
      <c r="B71" s="47" t="s">
        <v>220</v>
      </c>
      <c r="C71" s="47"/>
      <c r="D71" s="47"/>
      <c r="E71" s="47"/>
      <c r="F71" s="50">
        <v>9000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45">
      <c r="A72" s="46"/>
      <c r="B72" s="47" t="s">
        <v>221</v>
      </c>
      <c r="C72" s="47"/>
      <c r="D72" s="47"/>
      <c r="E72" s="47"/>
      <c r="F72" s="4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45">
      <c r="A73" s="46" t="s">
        <v>142</v>
      </c>
      <c r="B73" s="47" t="s">
        <v>13</v>
      </c>
      <c r="C73" s="47" t="s">
        <v>14</v>
      </c>
      <c r="D73" s="47"/>
      <c r="E73" s="48">
        <v>20000</v>
      </c>
      <c r="F73" s="4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45">
      <c r="A74" s="46"/>
      <c r="B74" s="47" t="s">
        <v>141</v>
      </c>
      <c r="C74" s="47"/>
      <c r="D74" s="47"/>
      <c r="E74" s="47"/>
      <c r="F74" s="50">
        <v>20000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45">
      <c r="A75" s="46"/>
      <c r="B75" s="47" t="s">
        <v>224</v>
      </c>
      <c r="C75" s="47"/>
      <c r="D75" s="47"/>
      <c r="E75" s="47"/>
      <c r="F75" s="4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45">
      <c r="A76" s="46" t="s">
        <v>154</v>
      </c>
      <c r="B76" s="47" t="s">
        <v>91</v>
      </c>
      <c r="C76" s="47" t="s">
        <v>14</v>
      </c>
      <c r="D76" s="47"/>
      <c r="E76" s="48">
        <v>12000</v>
      </c>
      <c r="F76" s="4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45">
      <c r="A77" s="46"/>
      <c r="B77" s="47" t="s">
        <v>69</v>
      </c>
      <c r="C77" s="47"/>
      <c r="D77" s="47"/>
      <c r="E77" s="47"/>
      <c r="F77" s="50">
        <v>12000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45">
      <c r="A78" s="46"/>
      <c r="B78" s="47" t="s">
        <v>227</v>
      </c>
      <c r="C78" s="47"/>
      <c r="D78" s="47"/>
      <c r="E78" s="47"/>
      <c r="F78" s="4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45">
      <c r="A79" s="46" t="s">
        <v>229</v>
      </c>
      <c r="B79" s="47" t="s">
        <v>94</v>
      </c>
      <c r="C79" s="47" t="s">
        <v>14</v>
      </c>
      <c r="D79" s="47"/>
      <c r="E79" s="48">
        <v>6000</v>
      </c>
      <c r="F79" s="4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45">
      <c r="A80" s="46"/>
      <c r="B80" s="47" t="s">
        <v>141</v>
      </c>
      <c r="C80" s="47"/>
      <c r="D80" s="47"/>
      <c r="E80" s="47"/>
      <c r="F80" s="50">
        <v>6000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45">
      <c r="A81" s="46"/>
      <c r="B81" s="47" t="s">
        <v>232</v>
      </c>
      <c r="C81" s="47"/>
      <c r="D81" s="47"/>
      <c r="E81" s="47"/>
      <c r="F81" s="4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45">
      <c r="A82" s="46" t="s">
        <v>159</v>
      </c>
      <c r="B82" s="47" t="s">
        <v>99</v>
      </c>
      <c r="C82" s="47" t="s">
        <v>14</v>
      </c>
      <c r="D82" s="47"/>
      <c r="E82" s="48">
        <v>4000</v>
      </c>
      <c r="F82" s="4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45">
      <c r="A83" s="46"/>
      <c r="B83" s="47" t="s">
        <v>69</v>
      </c>
      <c r="C83" s="47"/>
      <c r="D83" s="47"/>
      <c r="E83" s="47"/>
      <c r="F83" s="50">
        <v>4000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45">
      <c r="A84" s="46"/>
      <c r="B84" s="47" t="s">
        <v>234</v>
      </c>
      <c r="C84" s="47"/>
      <c r="D84" s="47"/>
      <c r="E84" s="47"/>
      <c r="F84" s="4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45">
      <c r="A85" s="46" t="s">
        <v>235</v>
      </c>
      <c r="B85" s="47" t="s">
        <v>20</v>
      </c>
      <c r="C85" s="47" t="s">
        <v>14</v>
      </c>
      <c r="D85" s="47"/>
      <c r="E85" s="48">
        <v>3000</v>
      </c>
      <c r="F85" s="4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45">
      <c r="A86" s="46"/>
      <c r="B86" s="47" t="s">
        <v>236</v>
      </c>
      <c r="C86" s="47"/>
      <c r="D86" s="47"/>
      <c r="E86" s="47"/>
      <c r="F86" s="50">
        <v>3000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45">
      <c r="A87" s="46"/>
      <c r="B87" s="47" t="s">
        <v>237</v>
      </c>
      <c r="C87" s="47"/>
      <c r="D87" s="47"/>
      <c r="E87" s="47"/>
      <c r="F87" s="4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45">
      <c r="A88" s="46" t="s">
        <v>165</v>
      </c>
      <c r="B88" s="47" t="s">
        <v>57</v>
      </c>
      <c r="C88" s="47" t="s">
        <v>14</v>
      </c>
      <c r="D88" s="47"/>
      <c r="E88" s="48">
        <v>30000</v>
      </c>
      <c r="F88" s="4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45">
      <c r="A89" s="46"/>
      <c r="B89" s="47" t="s">
        <v>69</v>
      </c>
      <c r="C89" s="47"/>
      <c r="D89" s="47"/>
      <c r="E89" s="47"/>
      <c r="F89" s="50">
        <v>30000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45">
      <c r="A90" s="46"/>
      <c r="B90" s="47" t="s">
        <v>73</v>
      </c>
      <c r="C90" s="47"/>
      <c r="D90" s="47"/>
      <c r="E90" s="47"/>
      <c r="F90" s="4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45">
      <c r="A91" s="46" t="s">
        <v>169</v>
      </c>
      <c r="B91" s="47" t="s">
        <v>106</v>
      </c>
      <c r="C91" s="47" t="s">
        <v>14</v>
      </c>
      <c r="D91" s="47"/>
      <c r="E91" s="48">
        <v>8500</v>
      </c>
      <c r="F91" s="4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45">
      <c r="A92" s="46"/>
      <c r="B92" s="47" t="s">
        <v>69</v>
      </c>
      <c r="C92" s="47"/>
      <c r="D92" s="47"/>
      <c r="E92" s="47"/>
      <c r="F92" s="50">
        <v>8500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45">
      <c r="A93" s="46"/>
      <c r="B93" s="47" t="s">
        <v>239</v>
      </c>
      <c r="C93" s="47"/>
      <c r="D93" s="47"/>
      <c r="E93" s="47"/>
      <c r="F93" s="4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45">
      <c r="A94" s="46" t="s">
        <v>173</v>
      </c>
      <c r="B94" s="47" t="s">
        <v>110</v>
      </c>
      <c r="C94" s="47" t="s">
        <v>14</v>
      </c>
      <c r="D94" s="47"/>
      <c r="E94" s="48">
        <v>2500</v>
      </c>
      <c r="F94" s="4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45">
      <c r="A95" s="46"/>
      <c r="B95" s="47" t="s">
        <v>69</v>
      </c>
      <c r="C95" s="47"/>
      <c r="D95" s="47"/>
      <c r="E95" s="47"/>
      <c r="F95" s="50">
        <v>2500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45">
      <c r="A96" s="46"/>
      <c r="B96" s="47" t="s">
        <v>240</v>
      </c>
      <c r="C96" s="47"/>
      <c r="D96" s="47"/>
      <c r="E96" s="47"/>
      <c r="F96" s="4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45">
      <c r="A97" s="46" t="s">
        <v>175</v>
      </c>
      <c r="B97" s="47" t="s">
        <v>24</v>
      </c>
      <c r="C97" s="47" t="s">
        <v>14</v>
      </c>
      <c r="D97" s="47"/>
      <c r="E97" s="48">
        <v>25000</v>
      </c>
      <c r="F97" s="4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45">
      <c r="A98" s="46"/>
      <c r="B98" s="47" t="s">
        <v>69</v>
      </c>
      <c r="C98" s="47"/>
      <c r="D98" s="47"/>
      <c r="E98" s="47"/>
      <c r="F98" s="50">
        <v>25000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45">
      <c r="A99" s="46"/>
      <c r="B99" s="47" t="s">
        <v>242</v>
      </c>
      <c r="C99" s="47"/>
      <c r="D99" s="47"/>
      <c r="E99" s="47"/>
      <c r="F99" s="4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45">
      <c r="A100" s="46" t="s">
        <v>181</v>
      </c>
      <c r="B100" s="47" t="s">
        <v>120</v>
      </c>
      <c r="C100" s="47" t="s">
        <v>14</v>
      </c>
      <c r="D100" s="47"/>
      <c r="E100" s="48">
        <v>5000</v>
      </c>
      <c r="F100" s="4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45">
      <c r="A101" s="46"/>
      <c r="B101" s="47" t="s">
        <v>243</v>
      </c>
      <c r="C101" s="47"/>
      <c r="D101" s="47"/>
      <c r="E101" s="47"/>
      <c r="F101" s="50">
        <v>5000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45">
      <c r="A102" s="46"/>
      <c r="B102" s="47" t="s">
        <v>244</v>
      </c>
      <c r="C102" s="47"/>
      <c r="D102" s="47"/>
      <c r="E102" s="47"/>
      <c r="F102" s="4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45">
      <c r="A103" s="46" t="s">
        <v>186</v>
      </c>
      <c r="B103" s="47" t="s">
        <v>20</v>
      </c>
      <c r="C103" s="47" t="s">
        <v>14</v>
      </c>
      <c r="D103" s="47"/>
      <c r="E103" s="48">
        <v>40000</v>
      </c>
      <c r="F103" s="4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45">
      <c r="A104" s="46"/>
      <c r="B104" s="47" t="s">
        <v>69</v>
      </c>
      <c r="C104" s="47"/>
      <c r="D104" s="47"/>
      <c r="E104" s="47"/>
      <c r="F104" s="50">
        <v>40000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45">
      <c r="A105" s="52"/>
      <c r="B105" s="53" t="s">
        <v>246</v>
      </c>
      <c r="C105" s="53"/>
      <c r="D105" s="53"/>
      <c r="E105" s="53"/>
      <c r="F105" s="5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/>
    <row r="307" spans="1:26" ht="14.25" customHeight="1" x14ac:dyDescent="0.35"/>
    <row r="308" spans="1:26" ht="14.25" customHeight="1" x14ac:dyDescent="0.35"/>
    <row r="309" spans="1:26" ht="14.25" customHeight="1" x14ac:dyDescent="0.35"/>
    <row r="310" spans="1:26" ht="14.25" customHeight="1" x14ac:dyDescent="0.35"/>
    <row r="311" spans="1:26" ht="14.25" customHeight="1" x14ac:dyDescent="0.35"/>
    <row r="312" spans="1:26" ht="14.25" customHeight="1" x14ac:dyDescent="0.35"/>
    <row r="313" spans="1:26" ht="14.25" customHeight="1" x14ac:dyDescent="0.35"/>
    <row r="314" spans="1:26" ht="14.25" customHeight="1" x14ac:dyDescent="0.35"/>
    <row r="315" spans="1:26" ht="14.25" customHeight="1" x14ac:dyDescent="0.35"/>
    <row r="316" spans="1:26" ht="14.25" customHeight="1" x14ac:dyDescent="0.35"/>
    <row r="317" spans="1:26" ht="14.25" customHeight="1" x14ac:dyDescent="0.35"/>
    <row r="318" spans="1:26" ht="14.25" customHeight="1" x14ac:dyDescent="0.35"/>
    <row r="319" spans="1:26" ht="14.25" customHeight="1" x14ac:dyDescent="0.35"/>
    <row r="320" spans="1:26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F1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zoomScale="55" zoomScaleNormal="55" workbookViewId="0">
      <selection sqref="A1:H1"/>
    </sheetView>
  </sheetViews>
  <sheetFormatPr defaultColWidth="14.453125" defaultRowHeight="15" customHeight="1" x14ac:dyDescent="0.35"/>
  <cols>
    <col min="1" max="1" width="13.54296875" customWidth="1"/>
    <col min="2" max="2" width="33.7265625" customWidth="1"/>
    <col min="3" max="3" width="8.7265625" customWidth="1"/>
    <col min="4" max="4" width="17.453125" customWidth="1"/>
    <col min="5" max="5" width="14.08984375" customWidth="1"/>
    <col min="6" max="6" width="36.453125" customWidth="1"/>
    <col min="7" max="7" width="8.7265625" customWidth="1"/>
    <col min="8" max="8" width="17.453125" customWidth="1"/>
    <col min="9" max="26" width="8.7265625" customWidth="1"/>
  </cols>
  <sheetData>
    <row r="1" spans="1:19" ht="14.25" customHeight="1" x14ac:dyDescent="0.45">
      <c r="A1" s="55" t="s">
        <v>4</v>
      </c>
      <c r="B1" s="56"/>
      <c r="C1" s="56"/>
      <c r="D1" s="56"/>
      <c r="E1" s="56"/>
      <c r="F1" s="56"/>
      <c r="G1" s="56"/>
      <c r="H1" s="56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4.25" customHeight="1" x14ac:dyDescent="0.45">
      <c r="A2" s="41" t="s">
        <v>10</v>
      </c>
      <c r="B2" s="40"/>
      <c r="C2" s="40"/>
      <c r="D2" s="40"/>
      <c r="E2" s="40"/>
      <c r="F2" s="40"/>
      <c r="G2" s="40"/>
      <c r="H2" s="40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4.25" customHeight="1" x14ac:dyDescent="0.45">
      <c r="A3" s="60" t="s">
        <v>415</v>
      </c>
      <c r="B3" s="40"/>
      <c r="C3" s="40"/>
      <c r="D3" s="40"/>
      <c r="E3" s="40"/>
      <c r="F3" s="40"/>
      <c r="G3" s="40"/>
      <c r="H3" s="40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.25" customHeight="1" x14ac:dyDescent="0.45">
      <c r="A4" s="57" t="s">
        <v>3</v>
      </c>
      <c r="B4" s="58" t="s">
        <v>5</v>
      </c>
      <c r="C4" s="58" t="s">
        <v>15</v>
      </c>
      <c r="D4" s="58" t="s">
        <v>16</v>
      </c>
      <c r="E4" s="58" t="s">
        <v>3</v>
      </c>
      <c r="F4" s="58" t="s">
        <v>17</v>
      </c>
      <c r="G4" s="58" t="s">
        <v>15</v>
      </c>
      <c r="H4" s="59" t="s">
        <v>16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4.25" customHeight="1" x14ac:dyDescent="0.45">
      <c r="A5" s="42" t="s">
        <v>12</v>
      </c>
      <c r="B5" s="61" t="s">
        <v>21</v>
      </c>
      <c r="C5" s="62"/>
      <c r="D5" s="44">
        <v>80000</v>
      </c>
      <c r="E5" s="43" t="s">
        <v>12</v>
      </c>
      <c r="F5" s="61" t="s">
        <v>25</v>
      </c>
      <c r="G5" s="43"/>
      <c r="H5" s="63">
        <v>45000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4.25" customHeight="1" x14ac:dyDescent="0.45">
      <c r="A6" s="46" t="s">
        <v>12</v>
      </c>
      <c r="B6" s="51" t="s">
        <v>28</v>
      </c>
      <c r="C6" s="47"/>
      <c r="D6" s="48">
        <v>40000</v>
      </c>
      <c r="E6" s="47" t="s">
        <v>12</v>
      </c>
      <c r="F6" s="51" t="s">
        <v>30</v>
      </c>
      <c r="G6" s="47"/>
      <c r="H6" s="50">
        <v>120000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4.25" customHeight="1" x14ac:dyDescent="0.45">
      <c r="A7" s="46" t="s">
        <v>12</v>
      </c>
      <c r="B7" s="51" t="s">
        <v>35</v>
      </c>
      <c r="C7" s="47"/>
      <c r="D7" s="48">
        <v>100000</v>
      </c>
      <c r="E7" s="47" t="s">
        <v>12</v>
      </c>
      <c r="F7" s="51" t="s">
        <v>37</v>
      </c>
      <c r="G7" s="47"/>
      <c r="H7" s="50">
        <v>90000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4.25" customHeight="1" x14ac:dyDescent="0.45">
      <c r="A8" s="46" t="s">
        <v>38</v>
      </c>
      <c r="B8" s="47" t="s">
        <v>40</v>
      </c>
      <c r="C8" s="47"/>
      <c r="D8" s="48">
        <f>SUM(D13)-SUM(D5:D7)</f>
        <v>450000</v>
      </c>
      <c r="E8" s="47" t="s">
        <v>12</v>
      </c>
      <c r="F8" s="51" t="s">
        <v>51</v>
      </c>
      <c r="G8" s="47"/>
      <c r="H8" s="50">
        <v>60000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4.25" customHeight="1" x14ac:dyDescent="0.45">
      <c r="A9" s="64"/>
      <c r="B9" s="65"/>
      <c r="C9" s="65"/>
      <c r="D9" s="65"/>
      <c r="E9" s="47" t="s">
        <v>12</v>
      </c>
      <c r="F9" s="51" t="s">
        <v>60</v>
      </c>
      <c r="G9" s="47"/>
      <c r="H9" s="50">
        <v>200000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4.25" customHeight="1" x14ac:dyDescent="0.45">
      <c r="A10" s="46"/>
      <c r="B10" s="47"/>
      <c r="C10" s="47"/>
      <c r="D10" s="48"/>
      <c r="E10" s="47" t="s">
        <v>12</v>
      </c>
      <c r="F10" s="51" t="s">
        <v>62</v>
      </c>
      <c r="G10" s="47"/>
      <c r="H10" s="50">
        <v>40000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.25" customHeight="1" x14ac:dyDescent="0.45">
      <c r="A11" s="46"/>
      <c r="B11" s="47"/>
      <c r="C11" s="47"/>
      <c r="D11" s="48"/>
      <c r="E11" s="47" t="s">
        <v>12</v>
      </c>
      <c r="F11" s="51" t="s">
        <v>67</v>
      </c>
      <c r="G11" s="47"/>
      <c r="H11" s="50">
        <v>70000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4.25" customHeight="1" x14ac:dyDescent="0.45">
      <c r="A12" s="46"/>
      <c r="B12" s="47"/>
      <c r="C12" s="47"/>
      <c r="D12" s="48"/>
      <c r="E12" s="47" t="s">
        <v>12</v>
      </c>
      <c r="F12" s="51" t="s">
        <v>71</v>
      </c>
      <c r="G12" s="47"/>
      <c r="H12" s="50">
        <v>45000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4.25" customHeight="1" x14ac:dyDescent="0.45">
      <c r="A13" s="46"/>
      <c r="B13" s="47"/>
      <c r="C13" s="47"/>
      <c r="D13" s="71">
        <f>H13</f>
        <v>670000</v>
      </c>
      <c r="E13" s="73"/>
      <c r="F13" s="73"/>
      <c r="G13" s="73"/>
      <c r="H13" s="72">
        <f>SUM(H5:H12)</f>
        <v>670000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4.25" customHeight="1" x14ac:dyDescent="0.45">
      <c r="A14" s="52"/>
      <c r="B14" s="53"/>
      <c r="C14" s="53"/>
      <c r="D14" s="53"/>
      <c r="E14" s="53" t="s">
        <v>88</v>
      </c>
      <c r="F14" s="53" t="s">
        <v>90</v>
      </c>
      <c r="G14" s="53"/>
      <c r="H14" s="66">
        <f>D8</f>
        <v>450000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4.25" customHeight="1" x14ac:dyDescent="0.45">
      <c r="A15" s="41" t="s">
        <v>97</v>
      </c>
      <c r="B15" s="40"/>
      <c r="C15" s="40"/>
      <c r="D15" s="40"/>
      <c r="E15" s="40"/>
      <c r="F15" s="40"/>
      <c r="G15" s="40"/>
      <c r="H15" s="4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4.25" customHeight="1" x14ac:dyDescent="0.45">
      <c r="A16" s="60" t="s">
        <v>415</v>
      </c>
      <c r="B16" s="40"/>
      <c r="C16" s="40"/>
      <c r="D16" s="40"/>
      <c r="E16" s="40"/>
      <c r="F16" s="40"/>
      <c r="G16" s="40"/>
      <c r="H16" s="4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4.25" customHeight="1" x14ac:dyDescent="0.45">
      <c r="A17" s="57" t="s">
        <v>3</v>
      </c>
      <c r="B17" s="58" t="s">
        <v>5</v>
      </c>
      <c r="C17" s="58" t="s">
        <v>15</v>
      </c>
      <c r="D17" s="58" t="s">
        <v>16</v>
      </c>
      <c r="E17" s="58" t="s">
        <v>3</v>
      </c>
      <c r="F17" s="58" t="s">
        <v>17</v>
      </c>
      <c r="G17" s="58" t="s">
        <v>15</v>
      </c>
      <c r="H17" s="59" t="s">
        <v>16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4.25" customHeight="1" x14ac:dyDescent="0.45">
      <c r="A18" s="42" t="s">
        <v>12</v>
      </c>
      <c r="B18" s="43" t="s">
        <v>112</v>
      </c>
      <c r="C18" s="43"/>
      <c r="D18" s="44">
        <v>45000</v>
      </c>
      <c r="E18" s="43" t="s">
        <v>66</v>
      </c>
      <c r="F18" s="43" t="s">
        <v>114</v>
      </c>
      <c r="G18" s="43"/>
      <c r="H18" s="63">
        <v>35000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4.25" customHeight="1" x14ac:dyDescent="0.45">
      <c r="A19" s="46" t="s">
        <v>80</v>
      </c>
      <c r="B19" s="47" t="s">
        <v>118</v>
      </c>
      <c r="C19" s="47"/>
      <c r="D19" s="48">
        <v>75000</v>
      </c>
      <c r="E19" s="47" t="s">
        <v>89</v>
      </c>
      <c r="F19" s="47" t="s">
        <v>122</v>
      </c>
      <c r="G19" s="47"/>
      <c r="H19" s="50">
        <v>4500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4.25" customHeight="1" x14ac:dyDescent="0.45">
      <c r="A20" s="46" t="s">
        <v>124</v>
      </c>
      <c r="B20" s="47" t="s">
        <v>126</v>
      </c>
      <c r="C20" s="47"/>
      <c r="D20" s="48">
        <v>210000</v>
      </c>
      <c r="E20" s="47" t="s">
        <v>100</v>
      </c>
      <c r="F20" s="47" t="s">
        <v>129</v>
      </c>
      <c r="G20" s="47"/>
      <c r="H20" s="50">
        <v>15000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4.25" customHeight="1" x14ac:dyDescent="0.45">
      <c r="A21" s="46" t="s">
        <v>132</v>
      </c>
      <c r="B21" s="47" t="s">
        <v>134</v>
      </c>
      <c r="C21" s="47"/>
      <c r="D21" s="48">
        <v>9000</v>
      </c>
      <c r="E21" s="47" t="s">
        <v>135</v>
      </c>
      <c r="F21" s="47" t="s">
        <v>138</v>
      </c>
      <c r="G21" s="47"/>
      <c r="H21" s="50">
        <v>22000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4.25" customHeight="1" x14ac:dyDescent="0.45">
      <c r="A22" s="46" t="s">
        <v>142</v>
      </c>
      <c r="B22" s="47" t="s">
        <v>143</v>
      </c>
      <c r="C22" s="47"/>
      <c r="D22" s="48">
        <v>20000</v>
      </c>
      <c r="E22" s="47" t="s">
        <v>145</v>
      </c>
      <c r="F22" s="47" t="s">
        <v>146</v>
      </c>
      <c r="G22" s="47"/>
      <c r="H22" s="50">
        <v>18000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4.25" customHeight="1" x14ac:dyDescent="0.45">
      <c r="A23" s="46"/>
      <c r="B23" s="47"/>
      <c r="C23" s="47"/>
      <c r="D23" s="48"/>
      <c r="E23" s="47" t="s">
        <v>150</v>
      </c>
      <c r="F23" s="47" t="s">
        <v>151</v>
      </c>
      <c r="G23" s="47"/>
      <c r="H23" s="50">
        <v>5500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4.25" customHeight="1" x14ac:dyDescent="0.45">
      <c r="A24" s="46"/>
      <c r="B24" s="47"/>
      <c r="C24" s="47"/>
      <c r="D24" s="47"/>
      <c r="E24" s="47" t="s">
        <v>154</v>
      </c>
      <c r="F24" s="47" t="s">
        <v>156</v>
      </c>
      <c r="G24" s="47"/>
      <c r="H24" s="50">
        <v>12000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4.25" customHeight="1" x14ac:dyDescent="0.45">
      <c r="A25" s="46"/>
      <c r="B25" s="47"/>
      <c r="C25" s="47"/>
      <c r="D25" s="47"/>
      <c r="E25" s="47" t="s">
        <v>159</v>
      </c>
      <c r="F25" s="47" t="s">
        <v>161</v>
      </c>
      <c r="G25" s="47"/>
      <c r="H25" s="50">
        <v>4000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4.25" customHeight="1" x14ac:dyDescent="0.45">
      <c r="A26" s="46"/>
      <c r="B26" s="47"/>
      <c r="C26" s="47"/>
      <c r="D26" s="47"/>
      <c r="E26" s="47" t="s">
        <v>165</v>
      </c>
      <c r="F26" s="47" t="s">
        <v>114</v>
      </c>
      <c r="G26" s="47"/>
      <c r="H26" s="50">
        <v>30000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4.25" customHeight="1" x14ac:dyDescent="0.45">
      <c r="A27" s="46"/>
      <c r="B27" s="47"/>
      <c r="C27" s="47"/>
      <c r="D27" s="47"/>
      <c r="E27" s="47" t="s">
        <v>169</v>
      </c>
      <c r="F27" s="47" t="s">
        <v>170</v>
      </c>
      <c r="G27" s="47"/>
      <c r="H27" s="50">
        <v>8500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4.25" customHeight="1" x14ac:dyDescent="0.45">
      <c r="A28" s="46"/>
      <c r="B28" s="47"/>
      <c r="C28" s="47"/>
      <c r="D28" s="47"/>
      <c r="E28" s="47" t="s">
        <v>173</v>
      </c>
      <c r="F28" s="47" t="s">
        <v>174</v>
      </c>
      <c r="G28" s="47"/>
      <c r="H28" s="50">
        <v>2500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4.25" customHeight="1" x14ac:dyDescent="0.45">
      <c r="A29" s="46"/>
      <c r="B29" s="47"/>
      <c r="C29" s="47"/>
      <c r="D29" s="47"/>
      <c r="E29" s="47" t="s">
        <v>175</v>
      </c>
      <c r="F29" s="47" t="s">
        <v>51</v>
      </c>
      <c r="G29" s="47"/>
      <c r="H29" s="50">
        <v>25000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4.25" customHeight="1" x14ac:dyDescent="0.45">
      <c r="A30" s="46"/>
      <c r="B30" s="47"/>
      <c r="C30" s="47"/>
      <c r="D30" s="47"/>
      <c r="E30" s="47" t="s">
        <v>181</v>
      </c>
      <c r="F30" s="47" t="s">
        <v>182</v>
      </c>
      <c r="G30" s="47"/>
      <c r="H30" s="50">
        <v>5000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4.25" customHeight="1" x14ac:dyDescent="0.45">
      <c r="A31" s="46"/>
      <c r="B31" s="47"/>
      <c r="C31" s="47"/>
      <c r="D31" s="47"/>
      <c r="E31" s="47" t="s">
        <v>186</v>
      </c>
      <c r="F31" s="47" t="s">
        <v>30</v>
      </c>
      <c r="G31" s="47"/>
      <c r="H31" s="50">
        <v>40000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4.25" customHeight="1" x14ac:dyDescent="0.45">
      <c r="A32" s="46"/>
      <c r="B32" s="47"/>
      <c r="C32" s="47"/>
      <c r="D32" s="47"/>
      <c r="E32" s="46" t="s">
        <v>38</v>
      </c>
      <c r="F32" s="47" t="s">
        <v>189</v>
      </c>
      <c r="G32" s="47"/>
      <c r="H32" s="50">
        <f>SUM(D33)-SUM(H18:H31)</f>
        <v>132000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4.25" customHeight="1" x14ac:dyDescent="0.45">
      <c r="A33" s="46"/>
      <c r="B33" s="47"/>
      <c r="C33" s="47"/>
      <c r="D33" s="71">
        <f>SUM(D18:D22)</f>
        <v>359000</v>
      </c>
      <c r="E33" s="69"/>
      <c r="F33" s="69"/>
      <c r="G33" s="69"/>
      <c r="H33" s="72">
        <f>D33</f>
        <v>359000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4.25" customHeight="1" x14ac:dyDescent="0.45">
      <c r="A34" s="52" t="s">
        <v>88</v>
      </c>
      <c r="B34" s="53" t="s">
        <v>112</v>
      </c>
      <c r="C34" s="53"/>
      <c r="D34" s="67">
        <f>H32</f>
        <v>132000</v>
      </c>
      <c r="E34" s="53"/>
      <c r="F34" s="53"/>
      <c r="G34" s="53"/>
      <c r="H34" s="5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4.25" customHeight="1" x14ac:dyDescent="0.45">
      <c r="A35" s="41" t="s">
        <v>210</v>
      </c>
      <c r="B35" s="40"/>
      <c r="C35" s="40"/>
      <c r="D35" s="40"/>
      <c r="E35" s="40"/>
      <c r="F35" s="40"/>
      <c r="G35" s="40"/>
      <c r="H35" s="4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4.25" customHeight="1" x14ac:dyDescent="0.45">
      <c r="A36" s="60" t="s">
        <v>415</v>
      </c>
      <c r="B36" s="40"/>
      <c r="C36" s="40"/>
      <c r="D36" s="40"/>
      <c r="E36" s="40"/>
      <c r="F36" s="40"/>
      <c r="G36" s="40"/>
      <c r="H36" s="4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4.25" customHeight="1" x14ac:dyDescent="0.45">
      <c r="A37" s="57" t="s">
        <v>3</v>
      </c>
      <c r="B37" s="58" t="s">
        <v>5</v>
      </c>
      <c r="C37" s="58" t="s">
        <v>15</v>
      </c>
      <c r="D37" s="58" t="s">
        <v>16</v>
      </c>
      <c r="E37" s="58" t="s">
        <v>3</v>
      </c>
      <c r="F37" s="58" t="s">
        <v>17</v>
      </c>
      <c r="G37" s="58" t="s">
        <v>15</v>
      </c>
      <c r="H37" s="59" t="s">
        <v>16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4.25" customHeight="1" x14ac:dyDescent="0.45">
      <c r="A38" s="42" t="s">
        <v>56</v>
      </c>
      <c r="B38" s="43" t="s">
        <v>21</v>
      </c>
      <c r="C38" s="43"/>
      <c r="D38" s="44">
        <v>110000</v>
      </c>
      <c r="E38" s="43" t="s">
        <v>38</v>
      </c>
      <c r="F38" s="43" t="s">
        <v>189</v>
      </c>
      <c r="G38" s="43"/>
      <c r="H38" s="63">
        <f>H43</f>
        <v>260000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4.25" customHeight="1" x14ac:dyDescent="0.45">
      <c r="A39" s="46" t="s">
        <v>66</v>
      </c>
      <c r="B39" s="47" t="s">
        <v>217</v>
      </c>
      <c r="C39" s="47"/>
      <c r="D39" s="48">
        <v>35000</v>
      </c>
      <c r="E39" s="47"/>
      <c r="F39" s="47"/>
      <c r="G39" s="47"/>
      <c r="H39" s="4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4.25" customHeight="1" x14ac:dyDescent="0.45">
      <c r="A40" s="46" t="s">
        <v>201</v>
      </c>
      <c r="B40" s="47" t="s">
        <v>28</v>
      </c>
      <c r="C40" s="47"/>
      <c r="D40" s="48">
        <v>85000</v>
      </c>
      <c r="E40" s="47"/>
      <c r="F40" s="47"/>
      <c r="G40" s="47"/>
      <c r="H40" s="4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4.25" customHeight="1" x14ac:dyDescent="0.45">
      <c r="A41" s="46" t="s">
        <v>165</v>
      </c>
      <c r="B41" s="47" t="s">
        <v>217</v>
      </c>
      <c r="C41" s="47"/>
      <c r="D41" s="48">
        <v>30000</v>
      </c>
      <c r="E41" s="47"/>
      <c r="F41" s="47"/>
      <c r="G41" s="47"/>
      <c r="H41" s="4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4.25" customHeight="1" x14ac:dyDescent="0.45">
      <c r="A42" s="46"/>
      <c r="B42" s="47"/>
      <c r="C42" s="47"/>
      <c r="D42" s="47"/>
      <c r="E42" s="47"/>
      <c r="F42" s="47"/>
      <c r="G42" s="47"/>
      <c r="H42" s="4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4.25" customHeight="1" x14ac:dyDescent="0.45">
      <c r="A43" s="46"/>
      <c r="B43" s="47"/>
      <c r="C43" s="47"/>
      <c r="D43" s="71">
        <f>SUM(D38:D41)</f>
        <v>260000</v>
      </c>
      <c r="E43" s="69"/>
      <c r="F43" s="69"/>
      <c r="G43" s="69"/>
      <c r="H43" s="72">
        <f>D43</f>
        <v>260000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4.25" customHeight="1" x14ac:dyDescent="0.45">
      <c r="A44" s="52" t="s">
        <v>88</v>
      </c>
      <c r="B44" s="53" t="s">
        <v>112</v>
      </c>
      <c r="C44" s="53"/>
      <c r="D44" s="67">
        <f>H38</f>
        <v>260000</v>
      </c>
      <c r="E44" s="53"/>
      <c r="F44" s="53"/>
      <c r="G44" s="53"/>
      <c r="H44" s="5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4.25" customHeight="1" x14ac:dyDescent="0.45">
      <c r="A45" s="41" t="s">
        <v>230</v>
      </c>
      <c r="B45" s="40"/>
      <c r="C45" s="40"/>
      <c r="D45" s="40"/>
      <c r="E45" s="40"/>
      <c r="F45" s="40"/>
      <c r="G45" s="40"/>
      <c r="H45" s="4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.25" customHeight="1" x14ac:dyDescent="0.45">
      <c r="A46" s="60" t="s">
        <v>415</v>
      </c>
      <c r="B46" s="40"/>
      <c r="C46" s="40"/>
      <c r="D46" s="40"/>
      <c r="E46" s="40"/>
      <c r="F46" s="40"/>
      <c r="G46" s="40"/>
      <c r="H46" s="40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.25" customHeight="1" x14ac:dyDescent="0.45">
      <c r="A47" s="57" t="s">
        <v>3</v>
      </c>
      <c r="B47" s="58" t="s">
        <v>5</v>
      </c>
      <c r="C47" s="58" t="s">
        <v>15</v>
      </c>
      <c r="D47" s="58" t="s">
        <v>16</v>
      </c>
      <c r="E47" s="58" t="s">
        <v>3</v>
      </c>
      <c r="F47" s="58" t="s">
        <v>17</v>
      </c>
      <c r="G47" s="58" t="s">
        <v>15</v>
      </c>
      <c r="H47" s="59" t="s">
        <v>16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4.25" customHeight="1" x14ac:dyDescent="0.45">
      <c r="A48" s="42" t="s">
        <v>108</v>
      </c>
      <c r="B48" s="43" t="s">
        <v>233</v>
      </c>
      <c r="C48" s="43"/>
      <c r="D48" s="44">
        <v>12000</v>
      </c>
      <c r="E48" s="43" t="s">
        <v>12</v>
      </c>
      <c r="F48" s="43" t="s">
        <v>90</v>
      </c>
      <c r="G48" s="43"/>
      <c r="H48" s="63">
        <v>80000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.25" customHeight="1" x14ac:dyDescent="0.45">
      <c r="A49" s="46" t="s">
        <v>185</v>
      </c>
      <c r="B49" s="47" t="s">
        <v>143</v>
      </c>
      <c r="C49" s="47"/>
      <c r="D49" s="48">
        <v>150000</v>
      </c>
      <c r="E49" s="47" t="s">
        <v>56</v>
      </c>
      <c r="F49" s="47" t="s">
        <v>114</v>
      </c>
      <c r="G49" s="47"/>
      <c r="H49" s="50">
        <v>110000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.25" customHeight="1" x14ac:dyDescent="0.45">
      <c r="A50" s="46" t="s">
        <v>185</v>
      </c>
      <c r="B50" s="47" t="s">
        <v>238</v>
      </c>
      <c r="C50" s="47"/>
      <c r="D50" s="48">
        <v>7000</v>
      </c>
      <c r="E50" s="47"/>
      <c r="F50" s="47"/>
      <c r="G50" s="47"/>
      <c r="H50" s="5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.25" customHeight="1" x14ac:dyDescent="0.45">
      <c r="A51" s="46" t="s">
        <v>38</v>
      </c>
      <c r="B51" s="47" t="s">
        <v>40</v>
      </c>
      <c r="C51" s="47"/>
      <c r="D51" s="48">
        <f>SUM(H52)-SUM(D48:D50)</f>
        <v>21000</v>
      </c>
      <c r="E51" s="47"/>
      <c r="F51" s="47"/>
      <c r="G51" s="47"/>
      <c r="H51" s="4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.25" customHeight="1" x14ac:dyDescent="0.45">
      <c r="A52" s="46"/>
      <c r="B52" s="47"/>
      <c r="C52" s="47"/>
      <c r="D52" s="71">
        <f>H52</f>
        <v>190000</v>
      </c>
      <c r="E52" s="69"/>
      <c r="F52" s="69"/>
      <c r="G52" s="69"/>
      <c r="H52" s="72">
        <f>SUM(H48:H49)</f>
        <v>190000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.25" customHeight="1" x14ac:dyDescent="0.45">
      <c r="A53" s="52"/>
      <c r="B53" s="53"/>
      <c r="C53" s="53"/>
      <c r="D53" s="53"/>
      <c r="E53" s="53" t="s">
        <v>88</v>
      </c>
      <c r="F53" s="53" t="s">
        <v>90</v>
      </c>
      <c r="G53" s="53"/>
      <c r="H53" s="66">
        <f>D51</f>
        <v>21000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.25" customHeight="1" x14ac:dyDescent="0.45">
      <c r="A54" s="41" t="s">
        <v>241</v>
      </c>
      <c r="B54" s="40"/>
      <c r="C54" s="40"/>
      <c r="D54" s="40"/>
      <c r="E54" s="40"/>
      <c r="F54" s="40"/>
      <c r="G54" s="40"/>
      <c r="H54" s="4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.25" customHeight="1" x14ac:dyDescent="0.45">
      <c r="A55" s="60" t="s">
        <v>415</v>
      </c>
      <c r="B55" s="40"/>
      <c r="C55" s="40"/>
      <c r="D55" s="40"/>
      <c r="E55" s="40"/>
      <c r="F55" s="40"/>
      <c r="G55" s="40"/>
      <c r="H55" s="40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.25" customHeight="1" x14ac:dyDescent="0.45">
      <c r="A56" s="57" t="s">
        <v>3</v>
      </c>
      <c r="B56" s="58" t="s">
        <v>5</v>
      </c>
      <c r="C56" s="58" t="s">
        <v>15</v>
      </c>
      <c r="D56" s="58" t="s">
        <v>16</v>
      </c>
      <c r="E56" s="58" t="s">
        <v>3</v>
      </c>
      <c r="F56" s="58" t="s">
        <v>17</v>
      </c>
      <c r="G56" s="58" t="s">
        <v>15</v>
      </c>
      <c r="H56" s="59" t="s">
        <v>16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.25" customHeight="1" x14ac:dyDescent="0.45">
      <c r="A57" s="42" t="s">
        <v>12</v>
      </c>
      <c r="B57" s="43" t="s">
        <v>112</v>
      </c>
      <c r="C57" s="43"/>
      <c r="D57" s="44">
        <v>70000</v>
      </c>
      <c r="E57" s="43" t="s">
        <v>123</v>
      </c>
      <c r="F57" s="43" t="s">
        <v>245</v>
      </c>
      <c r="G57" s="43"/>
      <c r="H57" s="63">
        <v>10000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4.25" customHeight="1" x14ac:dyDescent="0.45">
      <c r="A58" s="46" t="s">
        <v>75</v>
      </c>
      <c r="B58" s="47" t="s">
        <v>118</v>
      </c>
      <c r="C58" s="47"/>
      <c r="D58" s="48">
        <v>160000</v>
      </c>
      <c r="E58" s="47" t="s">
        <v>124</v>
      </c>
      <c r="F58" s="47" t="s">
        <v>25</v>
      </c>
      <c r="G58" s="47"/>
      <c r="H58" s="50">
        <v>210000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4.25" customHeight="1" x14ac:dyDescent="0.45">
      <c r="A59" s="46"/>
      <c r="B59" s="47"/>
      <c r="C59" s="47"/>
      <c r="D59" s="47"/>
      <c r="E59" s="47" t="s">
        <v>124</v>
      </c>
      <c r="F59" s="47" t="s">
        <v>247</v>
      </c>
      <c r="G59" s="47"/>
      <c r="H59" s="50">
        <v>6000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4.25" customHeight="1" x14ac:dyDescent="0.45">
      <c r="A60" s="46"/>
      <c r="B60" s="47"/>
      <c r="C60" s="47"/>
      <c r="D60" s="47"/>
      <c r="E60" s="47" t="s">
        <v>38</v>
      </c>
      <c r="F60" s="47" t="s">
        <v>189</v>
      </c>
      <c r="G60" s="47"/>
      <c r="H60" s="50">
        <f>SUM(D61)-SUM(H57:H59)</f>
        <v>4000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4.25" customHeight="1" x14ac:dyDescent="0.45">
      <c r="A61" s="46"/>
      <c r="B61" s="47"/>
      <c r="C61" s="47"/>
      <c r="D61" s="71">
        <f>SUM(D57:D58)</f>
        <v>230000</v>
      </c>
      <c r="E61" s="69"/>
      <c r="F61" s="69"/>
      <c r="G61" s="69"/>
      <c r="H61" s="72">
        <f>D61</f>
        <v>230000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4.25" customHeight="1" x14ac:dyDescent="0.45">
      <c r="A62" s="52" t="s">
        <v>88</v>
      </c>
      <c r="B62" s="53" t="s">
        <v>112</v>
      </c>
      <c r="C62" s="53"/>
      <c r="D62" s="67">
        <f>H60</f>
        <v>4000</v>
      </c>
      <c r="E62" s="53"/>
      <c r="F62" s="53"/>
      <c r="G62" s="53"/>
      <c r="H62" s="5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4.25" customHeight="1" x14ac:dyDescent="0.45">
      <c r="A63" s="41" t="s">
        <v>248</v>
      </c>
      <c r="B63" s="40"/>
      <c r="C63" s="40"/>
      <c r="D63" s="40"/>
      <c r="E63" s="40"/>
      <c r="F63" s="40"/>
      <c r="G63" s="40"/>
      <c r="H63" s="40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4.25" customHeight="1" x14ac:dyDescent="0.45">
      <c r="A64" s="60" t="s">
        <v>415</v>
      </c>
      <c r="B64" s="40"/>
      <c r="C64" s="40"/>
      <c r="D64" s="40"/>
      <c r="E64" s="40"/>
      <c r="F64" s="40"/>
      <c r="G64" s="40"/>
      <c r="H64" s="40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4.25" customHeight="1" x14ac:dyDescent="0.45">
      <c r="A65" s="57" t="s">
        <v>3</v>
      </c>
      <c r="B65" s="58" t="s">
        <v>5</v>
      </c>
      <c r="C65" s="58" t="s">
        <v>15</v>
      </c>
      <c r="D65" s="58" t="s">
        <v>16</v>
      </c>
      <c r="E65" s="58" t="s">
        <v>3</v>
      </c>
      <c r="F65" s="58" t="s">
        <v>17</v>
      </c>
      <c r="G65" s="58" t="s">
        <v>15</v>
      </c>
      <c r="H65" s="59" t="s">
        <v>16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4.25" customHeight="1" x14ac:dyDescent="0.45">
      <c r="A66" s="42" t="s">
        <v>38</v>
      </c>
      <c r="B66" s="43" t="s">
        <v>40</v>
      </c>
      <c r="C66" s="43"/>
      <c r="D66" s="44">
        <f>D70</f>
        <v>355000</v>
      </c>
      <c r="E66" s="43" t="s">
        <v>75</v>
      </c>
      <c r="F66" s="43" t="s">
        <v>67</v>
      </c>
      <c r="G66" s="43"/>
      <c r="H66" s="63">
        <v>160000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4.25" customHeight="1" x14ac:dyDescent="0.45">
      <c r="A67" s="46"/>
      <c r="B67" s="47"/>
      <c r="C67" s="47"/>
      <c r="D67" s="47"/>
      <c r="E67" s="47" t="s">
        <v>80</v>
      </c>
      <c r="F67" s="47" t="s">
        <v>25</v>
      </c>
      <c r="G67" s="47"/>
      <c r="H67" s="50">
        <v>75000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4.25" customHeight="1" x14ac:dyDescent="0.45">
      <c r="A68" s="46"/>
      <c r="B68" s="47"/>
      <c r="C68" s="47"/>
      <c r="D68" s="47"/>
      <c r="E68" s="47" t="s">
        <v>208</v>
      </c>
      <c r="F68" s="47" t="s">
        <v>71</v>
      </c>
      <c r="G68" s="47"/>
      <c r="H68" s="50">
        <v>120000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4.25" customHeight="1" x14ac:dyDescent="0.45">
      <c r="A69" s="46"/>
      <c r="B69" s="47"/>
      <c r="C69" s="47"/>
      <c r="D69" s="47"/>
      <c r="E69" s="47"/>
      <c r="F69" s="47"/>
      <c r="G69" s="47"/>
      <c r="H69" s="4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4.25" customHeight="1" x14ac:dyDescent="0.45">
      <c r="A70" s="46"/>
      <c r="B70" s="47"/>
      <c r="C70" s="47"/>
      <c r="D70" s="71">
        <f>H70</f>
        <v>355000</v>
      </c>
      <c r="E70" s="69"/>
      <c r="F70" s="69"/>
      <c r="G70" s="69"/>
      <c r="H70" s="72">
        <f>SUM(H66:H68)</f>
        <v>355000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4.25" customHeight="1" x14ac:dyDescent="0.45">
      <c r="A71" s="52"/>
      <c r="B71" s="53"/>
      <c r="C71" s="53"/>
      <c r="D71" s="53"/>
      <c r="E71" s="53" t="s">
        <v>88</v>
      </c>
      <c r="F71" s="53" t="s">
        <v>90</v>
      </c>
      <c r="G71" s="53"/>
      <c r="H71" s="66">
        <f>D66</f>
        <v>355000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4.25" customHeight="1" x14ac:dyDescent="0.45">
      <c r="A72" s="41" t="s">
        <v>249</v>
      </c>
      <c r="B72" s="40"/>
      <c r="C72" s="40"/>
      <c r="D72" s="40"/>
      <c r="E72" s="40"/>
      <c r="F72" s="40"/>
      <c r="G72" s="40"/>
      <c r="H72" s="40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4.25" customHeight="1" x14ac:dyDescent="0.45">
      <c r="A73" s="60" t="s">
        <v>415</v>
      </c>
      <c r="B73" s="40"/>
      <c r="C73" s="40"/>
      <c r="D73" s="40"/>
      <c r="E73" s="40"/>
      <c r="F73" s="40"/>
      <c r="G73" s="40"/>
      <c r="H73" s="40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4.25" customHeight="1" x14ac:dyDescent="0.45">
      <c r="A74" s="57" t="s">
        <v>3</v>
      </c>
      <c r="B74" s="58" t="s">
        <v>5</v>
      </c>
      <c r="C74" s="58" t="s">
        <v>15</v>
      </c>
      <c r="D74" s="58" t="s">
        <v>16</v>
      </c>
      <c r="E74" s="58" t="s">
        <v>3</v>
      </c>
      <c r="F74" s="58" t="s">
        <v>17</v>
      </c>
      <c r="G74" s="58" t="s">
        <v>15</v>
      </c>
      <c r="H74" s="59" t="s">
        <v>16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4.25" customHeight="1" x14ac:dyDescent="0.45">
      <c r="A75" s="42" t="s">
        <v>89</v>
      </c>
      <c r="B75" s="43" t="s">
        <v>217</v>
      </c>
      <c r="C75" s="43"/>
      <c r="D75" s="44">
        <v>4500</v>
      </c>
      <c r="E75" s="43" t="s">
        <v>38</v>
      </c>
      <c r="F75" s="43" t="s">
        <v>189</v>
      </c>
      <c r="G75" s="43"/>
      <c r="H75" s="63">
        <f>H77</f>
        <v>4500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4.25" customHeight="1" x14ac:dyDescent="0.45">
      <c r="A76" s="46"/>
      <c r="B76" s="47"/>
      <c r="C76" s="47"/>
      <c r="D76" s="47"/>
      <c r="E76" s="47"/>
      <c r="F76" s="47"/>
      <c r="G76" s="47"/>
      <c r="H76" s="4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4.25" customHeight="1" x14ac:dyDescent="0.45">
      <c r="A77" s="46"/>
      <c r="B77" s="47"/>
      <c r="C77" s="47"/>
      <c r="D77" s="71">
        <f>SUM(D75)</f>
        <v>4500</v>
      </c>
      <c r="E77" s="69"/>
      <c r="F77" s="69"/>
      <c r="G77" s="69"/>
      <c r="H77" s="72">
        <f>D77</f>
        <v>4500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4.25" customHeight="1" x14ac:dyDescent="0.45">
      <c r="A78" s="52" t="s">
        <v>88</v>
      </c>
      <c r="B78" s="53" t="s">
        <v>112</v>
      </c>
      <c r="C78" s="53"/>
      <c r="D78" s="67">
        <f>H75</f>
        <v>4500</v>
      </c>
      <c r="E78" s="53"/>
      <c r="F78" s="53"/>
      <c r="G78" s="53"/>
      <c r="H78" s="5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4.25" customHeight="1" x14ac:dyDescent="0.45">
      <c r="A79" s="41" t="s">
        <v>250</v>
      </c>
      <c r="B79" s="40"/>
      <c r="C79" s="40"/>
      <c r="D79" s="40"/>
      <c r="E79" s="40"/>
      <c r="F79" s="40"/>
      <c r="G79" s="40"/>
      <c r="H79" s="40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4.25" customHeight="1" x14ac:dyDescent="0.45">
      <c r="A80" s="60" t="s">
        <v>415</v>
      </c>
      <c r="B80" s="40"/>
      <c r="C80" s="40"/>
      <c r="D80" s="40"/>
      <c r="E80" s="40"/>
      <c r="F80" s="40"/>
      <c r="G80" s="40"/>
      <c r="H80" s="40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4.25" customHeight="1" x14ac:dyDescent="0.45">
      <c r="A81" s="57" t="s">
        <v>3</v>
      </c>
      <c r="B81" s="58" t="s">
        <v>5</v>
      </c>
      <c r="C81" s="58" t="s">
        <v>15</v>
      </c>
      <c r="D81" s="58" t="s">
        <v>16</v>
      </c>
      <c r="E81" s="58" t="s">
        <v>3</v>
      </c>
      <c r="F81" s="58" t="s">
        <v>17</v>
      </c>
      <c r="G81" s="58" t="s">
        <v>15</v>
      </c>
      <c r="H81" s="59" t="s">
        <v>16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4.25" customHeight="1" x14ac:dyDescent="0.45">
      <c r="A82" s="42" t="s">
        <v>100</v>
      </c>
      <c r="B82" s="43" t="s">
        <v>217</v>
      </c>
      <c r="C82" s="43"/>
      <c r="D82" s="44">
        <v>15000</v>
      </c>
      <c r="E82" s="43" t="s">
        <v>38</v>
      </c>
      <c r="F82" s="43" t="s">
        <v>189</v>
      </c>
      <c r="G82" s="43"/>
      <c r="H82" s="63">
        <f>H84</f>
        <v>15000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4.25" customHeight="1" x14ac:dyDescent="0.45">
      <c r="A83" s="46"/>
      <c r="B83" s="47"/>
      <c r="C83" s="47"/>
      <c r="D83" s="47"/>
      <c r="E83" s="47"/>
      <c r="F83" s="47"/>
      <c r="G83" s="47"/>
      <c r="H83" s="4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4.25" customHeight="1" x14ac:dyDescent="0.45">
      <c r="A84" s="46"/>
      <c r="B84" s="47"/>
      <c r="C84" s="47"/>
      <c r="D84" s="71">
        <f>SUM(D82)</f>
        <v>15000</v>
      </c>
      <c r="E84" s="69"/>
      <c r="F84" s="69"/>
      <c r="G84" s="69"/>
      <c r="H84" s="72">
        <f>D84</f>
        <v>15000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4.25" customHeight="1" x14ac:dyDescent="0.45">
      <c r="A85" s="52" t="s">
        <v>88</v>
      </c>
      <c r="B85" s="53" t="s">
        <v>112</v>
      </c>
      <c r="C85" s="53"/>
      <c r="D85" s="67">
        <f>H82</f>
        <v>15000</v>
      </c>
      <c r="E85" s="53"/>
      <c r="F85" s="53"/>
      <c r="G85" s="53"/>
      <c r="H85" s="5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4.25" customHeight="1" x14ac:dyDescent="0.45">
      <c r="A86" s="41" t="s">
        <v>251</v>
      </c>
      <c r="B86" s="40"/>
      <c r="C86" s="40"/>
      <c r="D86" s="40"/>
      <c r="E86" s="40"/>
      <c r="F86" s="40"/>
      <c r="G86" s="40"/>
      <c r="H86" s="40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4.25" customHeight="1" x14ac:dyDescent="0.45">
      <c r="A87" s="60" t="s">
        <v>415</v>
      </c>
      <c r="B87" s="40"/>
      <c r="C87" s="40"/>
      <c r="D87" s="40"/>
      <c r="E87" s="40"/>
      <c r="F87" s="40"/>
      <c r="G87" s="40"/>
      <c r="H87" s="40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4.25" customHeight="1" x14ac:dyDescent="0.45">
      <c r="A88" s="57" t="s">
        <v>3</v>
      </c>
      <c r="B88" s="58" t="s">
        <v>5</v>
      </c>
      <c r="C88" s="58" t="s">
        <v>15</v>
      </c>
      <c r="D88" s="58" t="s">
        <v>16</v>
      </c>
      <c r="E88" s="58" t="s">
        <v>3</v>
      </c>
      <c r="F88" s="58" t="s">
        <v>17</v>
      </c>
      <c r="G88" s="58" t="s">
        <v>15</v>
      </c>
      <c r="H88" s="59" t="s">
        <v>16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4.25" customHeight="1" x14ac:dyDescent="0.45">
      <c r="A89" s="42" t="s">
        <v>38</v>
      </c>
      <c r="B89" s="43" t="s">
        <v>40</v>
      </c>
      <c r="C89" s="43"/>
      <c r="D89" s="44">
        <f>D91</f>
        <v>12000</v>
      </c>
      <c r="E89" s="43" t="s">
        <v>108</v>
      </c>
      <c r="F89" s="43" t="s">
        <v>252</v>
      </c>
      <c r="G89" s="43"/>
      <c r="H89" s="63">
        <v>12000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4.25" customHeight="1" x14ac:dyDescent="0.45">
      <c r="A90" s="46"/>
      <c r="B90" s="47"/>
      <c r="C90" s="47"/>
      <c r="D90" s="47"/>
      <c r="E90" s="47"/>
      <c r="F90" s="47"/>
      <c r="G90" s="47"/>
      <c r="H90" s="4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4.25" customHeight="1" x14ac:dyDescent="0.45">
      <c r="A91" s="46"/>
      <c r="B91" s="47"/>
      <c r="C91" s="47"/>
      <c r="D91" s="71">
        <f>H91</f>
        <v>12000</v>
      </c>
      <c r="E91" s="69"/>
      <c r="F91" s="69"/>
      <c r="G91" s="69"/>
      <c r="H91" s="72">
        <f>SUM(H89)</f>
        <v>12000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4.25" customHeight="1" x14ac:dyDescent="0.45">
      <c r="A92" s="52"/>
      <c r="B92" s="53"/>
      <c r="C92" s="53"/>
      <c r="D92" s="53"/>
      <c r="E92" s="53" t="s">
        <v>88</v>
      </c>
      <c r="F92" s="53" t="s">
        <v>90</v>
      </c>
      <c r="G92" s="53"/>
      <c r="H92" s="66">
        <f>D89</f>
        <v>12000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4.25" customHeight="1" x14ac:dyDescent="0.45">
      <c r="A93" s="41" t="s">
        <v>253</v>
      </c>
      <c r="B93" s="40"/>
      <c r="C93" s="40"/>
      <c r="D93" s="40"/>
      <c r="E93" s="40"/>
      <c r="F93" s="40"/>
      <c r="G93" s="40"/>
      <c r="H93" s="40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4.25" customHeight="1" x14ac:dyDescent="0.45">
      <c r="A94" s="60" t="s">
        <v>415</v>
      </c>
      <c r="B94" s="40"/>
      <c r="C94" s="40"/>
      <c r="D94" s="40"/>
      <c r="E94" s="40"/>
      <c r="F94" s="40"/>
      <c r="G94" s="40"/>
      <c r="H94" s="40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4.25" customHeight="1" x14ac:dyDescent="0.45">
      <c r="A95" s="57" t="s">
        <v>3</v>
      </c>
      <c r="B95" s="58" t="s">
        <v>5</v>
      </c>
      <c r="C95" s="58" t="s">
        <v>15</v>
      </c>
      <c r="D95" s="58" t="s">
        <v>16</v>
      </c>
      <c r="E95" s="58" t="s">
        <v>3</v>
      </c>
      <c r="F95" s="58" t="s">
        <v>17</v>
      </c>
      <c r="G95" s="58" t="s">
        <v>15</v>
      </c>
      <c r="H95" s="59" t="s">
        <v>16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4.25" customHeight="1" x14ac:dyDescent="0.45">
      <c r="A96" s="42" t="s">
        <v>123</v>
      </c>
      <c r="B96" s="43" t="s">
        <v>126</v>
      </c>
      <c r="C96" s="43"/>
      <c r="D96" s="44">
        <v>10000</v>
      </c>
      <c r="E96" s="43" t="s">
        <v>38</v>
      </c>
      <c r="F96" s="43" t="s">
        <v>189</v>
      </c>
      <c r="G96" s="43"/>
      <c r="H96" s="63">
        <f>H98</f>
        <v>10000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4.25" customHeight="1" x14ac:dyDescent="0.45">
      <c r="A97" s="46"/>
      <c r="B97" s="47"/>
      <c r="C97" s="47"/>
      <c r="D97" s="47"/>
      <c r="E97" s="47"/>
      <c r="F97" s="47"/>
      <c r="G97" s="47"/>
      <c r="H97" s="4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4.25" customHeight="1" x14ac:dyDescent="0.45">
      <c r="A98" s="46"/>
      <c r="B98" s="47"/>
      <c r="C98" s="47"/>
      <c r="D98" s="71">
        <f>SUM(D96)</f>
        <v>10000</v>
      </c>
      <c r="E98" s="69"/>
      <c r="F98" s="69"/>
      <c r="G98" s="69"/>
      <c r="H98" s="72">
        <f>D98</f>
        <v>10000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4.25" customHeight="1" x14ac:dyDescent="0.45">
      <c r="A99" s="52" t="s">
        <v>88</v>
      </c>
      <c r="B99" s="53" t="s">
        <v>112</v>
      </c>
      <c r="C99" s="53"/>
      <c r="D99" s="67">
        <f>H96</f>
        <v>10000</v>
      </c>
      <c r="E99" s="53"/>
      <c r="F99" s="53"/>
      <c r="G99" s="53"/>
      <c r="H99" s="5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4.25" customHeight="1" x14ac:dyDescent="0.45">
      <c r="A100" s="41" t="s">
        <v>254</v>
      </c>
      <c r="B100" s="40"/>
      <c r="C100" s="40"/>
      <c r="D100" s="40"/>
      <c r="E100" s="40"/>
      <c r="F100" s="40"/>
      <c r="G100" s="40"/>
      <c r="H100" s="40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4.25" customHeight="1" x14ac:dyDescent="0.45">
      <c r="A101" s="60" t="s">
        <v>415</v>
      </c>
      <c r="B101" s="40"/>
      <c r="C101" s="40"/>
      <c r="D101" s="40"/>
      <c r="E101" s="40"/>
      <c r="F101" s="40"/>
      <c r="G101" s="40"/>
      <c r="H101" s="40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4.25" customHeight="1" x14ac:dyDescent="0.45">
      <c r="A102" s="57" t="s">
        <v>3</v>
      </c>
      <c r="B102" s="58" t="s">
        <v>5</v>
      </c>
      <c r="C102" s="58" t="s">
        <v>15</v>
      </c>
      <c r="D102" s="58" t="s">
        <v>16</v>
      </c>
      <c r="E102" s="58" t="s">
        <v>3</v>
      </c>
      <c r="F102" s="58" t="s">
        <v>17</v>
      </c>
      <c r="G102" s="58" t="s">
        <v>15</v>
      </c>
      <c r="H102" s="59" t="s">
        <v>16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4.25" customHeight="1" x14ac:dyDescent="0.45">
      <c r="A103" s="42" t="s">
        <v>136</v>
      </c>
      <c r="B103" s="43" t="s">
        <v>143</v>
      </c>
      <c r="C103" s="43"/>
      <c r="D103" s="44">
        <v>50000</v>
      </c>
      <c r="E103" s="43" t="s">
        <v>38</v>
      </c>
      <c r="F103" s="43" t="s">
        <v>189</v>
      </c>
      <c r="G103" s="43"/>
      <c r="H103" s="63">
        <f>H105</f>
        <v>50000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4.25" customHeight="1" x14ac:dyDescent="0.45">
      <c r="A104" s="46"/>
      <c r="B104" s="47"/>
      <c r="C104" s="47"/>
      <c r="D104" s="47"/>
      <c r="E104" s="47"/>
      <c r="F104" s="47"/>
      <c r="G104" s="47"/>
      <c r="H104" s="4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4.25" customHeight="1" x14ac:dyDescent="0.45">
      <c r="A105" s="46"/>
      <c r="B105" s="47"/>
      <c r="C105" s="47"/>
      <c r="D105" s="71">
        <f>SUM(D103)</f>
        <v>50000</v>
      </c>
      <c r="E105" s="69"/>
      <c r="F105" s="69"/>
      <c r="G105" s="69"/>
      <c r="H105" s="72">
        <f>D105</f>
        <v>50000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4.25" customHeight="1" x14ac:dyDescent="0.45">
      <c r="A106" s="52" t="s">
        <v>88</v>
      </c>
      <c r="B106" s="53" t="s">
        <v>112</v>
      </c>
      <c r="C106" s="53"/>
      <c r="D106" s="67">
        <f>H103</f>
        <v>50000</v>
      </c>
      <c r="E106" s="53"/>
      <c r="F106" s="53"/>
      <c r="G106" s="53"/>
      <c r="H106" s="5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4.25" customHeight="1" x14ac:dyDescent="0.45">
      <c r="A107" s="41" t="s">
        <v>255</v>
      </c>
      <c r="B107" s="40"/>
      <c r="C107" s="40"/>
      <c r="D107" s="40"/>
      <c r="E107" s="40"/>
      <c r="F107" s="40"/>
      <c r="G107" s="40"/>
      <c r="H107" s="40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4.25" customHeight="1" x14ac:dyDescent="0.45">
      <c r="A108" s="60" t="s">
        <v>415</v>
      </c>
      <c r="B108" s="40"/>
      <c r="C108" s="40"/>
      <c r="D108" s="40"/>
      <c r="E108" s="40"/>
      <c r="F108" s="40"/>
      <c r="G108" s="40"/>
      <c r="H108" s="40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4.25" customHeight="1" x14ac:dyDescent="0.45">
      <c r="A109" s="57" t="s">
        <v>3</v>
      </c>
      <c r="B109" s="58" t="s">
        <v>5</v>
      </c>
      <c r="C109" s="58" t="s">
        <v>15</v>
      </c>
      <c r="D109" s="58" t="s">
        <v>16</v>
      </c>
      <c r="E109" s="58" t="s">
        <v>3</v>
      </c>
      <c r="F109" s="58" t="s">
        <v>17</v>
      </c>
      <c r="G109" s="58" t="s">
        <v>15</v>
      </c>
      <c r="H109" s="59" t="s">
        <v>16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4.25" customHeight="1" x14ac:dyDescent="0.45">
      <c r="A110" s="42" t="s">
        <v>12</v>
      </c>
      <c r="B110" s="43" t="s">
        <v>112</v>
      </c>
      <c r="C110" s="43"/>
      <c r="D110" s="44">
        <v>120000</v>
      </c>
      <c r="E110" s="43" t="s">
        <v>136</v>
      </c>
      <c r="F110" s="43" t="s">
        <v>256</v>
      </c>
      <c r="G110" s="43"/>
      <c r="H110" s="63">
        <v>50000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4.25" customHeight="1" x14ac:dyDescent="0.45">
      <c r="A111" s="46" t="s">
        <v>212</v>
      </c>
      <c r="B111" s="47" t="s">
        <v>257</v>
      </c>
      <c r="C111" s="47"/>
      <c r="D111" s="48">
        <v>110000</v>
      </c>
      <c r="E111" s="47" t="s">
        <v>185</v>
      </c>
      <c r="F111" s="47" t="s">
        <v>252</v>
      </c>
      <c r="G111" s="47"/>
      <c r="H111" s="50">
        <v>150000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4.25" customHeight="1" x14ac:dyDescent="0.45">
      <c r="A112" s="46" t="s">
        <v>235</v>
      </c>
      <c r="B112" s="47" t="s">
        <v>258</v>
      </c>
      <c r="C112" s="47"/>
      <c r="D112" s="48">
        <v>3000</v>
      </c>
      <c r="E112" s="47" t="s">
        <v>142</v>
      </c>
      <c r="F112" s="47" t="s">
        <v>30</v>
      </c>
      <c r="G112" s="47"/>
      <c r="H112" s="50">
        <v>20000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4.25" customHeight="1" x14ac:dyDescent="0.45">
      <c r="A113" s="46" t="s">
        <v>186</v>
      </c>
      <c r="B113" s="47" t="s">
        <v>143</v>
      </c>
      <c r="C113" s="47"/>
      <c r="D113" s="48">
        <v>40000</v>
      </c>
      <c r="E113" s="47" t="s">
        <v>229</v>
      </c>
      <c r="F113" s="47" t="s">
        <v>259</v>
      </c>
      <c r="G113" s="47"/>
      <c r="H113" s="50">
        <v>6000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4.25" customHeight="1" x14ac:dyDescent="0.45">
      <c r="A114" s="46"/>
      <c r="B114" s="47"/>
      <c r="C114" s="47"/>
      <c r="D114" s="47"/>
      <c r="E114" s="47" t="s">
        <v>38</v>
      </c>
      <c r="F114" s="47" t="s">
        <v>189</v>
      </c>
      <c r="G114" s="47"/>
      <c r="H114" s="50">
        <f>SUM(D115)-SUM(H110:H113)</f>
        <v>47000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4.25" customHeight="1" x14ac:dyDescent="0.45">
      <c r="A115" s="46"/>
      <c r="B115" s="47"/>
      <c r="C115" s="47"/>
      <c r="D115" s="71">
        <f>SUM(D110:D113)</f>
        <v>273000</v>
      </c>
      <c r="E115" s="69"/>
      <c r="F115" s="69"/>
      <c r="G115" s="69"/>
      <c r="H115" s="72">
        <f>D115</f>
        <v>273000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4.25" customHeight="1" x14ac:dyDescent="0.45">
      <c r="A116" s="52" t="s">
        <v>88</v>
      </c>
      <c r="B116" s="53" t="s">
        <v>112</v>
      </c>
      <c r="C116" s="53"/>
      <c r="D116" s="67">
        <f>H114</f>
        <v>47000</v>
      </c>
      <c r="E116" s="53"/>
      <c r="F116" s="53"/>
      <c r="G116" s="53"/>
      <c r="H116" s="5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4.25" customHeight="1" x14ac:dyDescent="0.45">
      <c r="A117" s="41" t="s">
        <v>260</v>
      </c>
      <c r="B117" s="40"/>
      <c r="C117" s="40"/>
      <c r="D117" s="40"/>
      <c r="E117" s="40"/>
      <c r="F117" s="40"/>
      <c r="G117" s="40"/>
      <c r="H117" s="40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4.25" customHeight="1" x14ac:dyDescent="0.45">
      <c r="A118" s="60" t="s">
        <v>415</v>
      </c>
      <c r="B118" s="40"/>
      <c r="C118" s="40"/>
      <c r="D118" s="40"/>
      <c r="E118" s="40"/>
      <c r="F118" s="40"/>
      <c r="G118" s="40"/>
      <c r="H118" s="40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4.25" customHeight="1" x14ac:dyDescent="0.45">
      <c r="A119" s="57" t="s">
        <v>3</v>
      </c>
      <c r="B119" s="58" t="s">
        <v>5</v>
      </c>
      <c r="C119" s="58" t="s">
        <v>15</v>
      </c>
      <c r="D119" s="58" t="s">
        <v>16</v>
      </c>
      <c r="E119" s="58" t="s">
        <v>3</v>
      </c>
      <c r="F119" s="58" t="s">
        <v>17</v>
      </c>
      <c r="G119" s="58" t="s">
        <v>15</v>
      </c>
      <c r="H119" s="59" t="s">
        <v>16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4.25" customHeight="1" x14ac:dyDescent="0.45">
      <c r="A120" s="42" t="s">
        <v>135</v>
      </c>
      <c r="B120" s="43" t="s">
        <v>217</v>
      </c>
      <c r="C120" s="43"/>
      <c r="D120" s="44">
        <v>22000</v>
      </c>
      <c r="E120" s="43" t="s">
        <v>38</v>
      </c>
      <c r="F120" s="43" t="s">
        <v>189</v>
      </c>
      <c r="G120" s="43"/>
      <c r="H120" s="63">
        <f>H122</f>
        <v>22000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4.25" customHeight="1" x14ac:dyDescent="0.45">
      <c r="A121" s="46"/>
      <c r="B121" s="47"/>
      <c r="C121" s="47"/>
      <c r="D121" s="69"/>
      <c r="E121" s="69"/>
      <c r="F121" s="69"/>
      <c r="G121" s="69"/>
      <c r="H121" s="70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4.25" customHeight="1" x14ac:dyDescent="0.45">
      <c r="A122" s="46"/>
      <c r="B122" s="47"/>
      <c r="C122" s="47"/>
      <c r="D122" s="71">
        <f>SUM(D120)</f>
        <v>22000</v>
      </c>
      <c r="E122" s="69"/>
      <c r="F122" s="69"/>
      <c r="G122" s="69"/>
      <c r="H122" s="72">
        <f>D122</f>
        <v>22000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4.25" customHeight="1" x14ac:dyDescent="0.45">
      <c r="A123" s="52" t="s">
        <v>88</v>
      </c>
      <c r="B123" s="53" t="s">
        <v>112</v>
      </c>
      <c r="C123" s="53"/>
      <c r="D123" s="67">
        <f>H120</f>
        <v>22000</v>
      </c>
      <c r="E123" s="53"/>
      <c r="F123" s="53"/>
      <c r="G123" s="53"/>
      <c r="H123" s="5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4.25" customHeight="1" x14ac:dyDescent="0.45">
      <c r="A124" s="41" t="s">
        <v>261</v>
      </c>
      <c r="B124" s="40"/>
      <c r="C124" s="40"/>
      <c r="D124" s="40"/>
      <c r="E124" s="40"/>
      <c r="F124" s="40"/>
      <c r="G124" s="40"/>
      <c r="H124" s="40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4.25" customHeight="1" x14ac:dyDescent="0.45">
      <c r="A125" s="60" t="s">
        <v>415</v>
      </c>
      <c r="B125" s="40"/>
      <c r="C125" s="40"/>
      <c r="D125" s="40"/>
      <c r="E125" s="40"/>
      <c r="F125" s="40"/>
      <c r="G125" s="40"/>
      <c r="H125" s="40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4.25" customHeight="1" x14ac:dyDescent="0.45">
      <c r="A126" s="57" t="s">
        <v>3</v>
      </c>
      <c r="B126" s="58" t="s">
        <v>5</v>
      </c>
      <c r="C126" s="58" t="s">
        <v>15</v>
      </c>
      <c r="D126" s="58" t="s">
        <v>16</v>
      </c>
      <c r="E126" s="58" t="s">
        <v>3</v>
      </c>
      <c r="F126" s="58" t="s">
        <v>17</v>
      </c>
      <c r="G126" s="58" t="s">
        <v>15</v>
      </c>
      <c r="H126" s="59" t="s">
        <v>16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4.25" customHeight="1" x14ac:dyDescent="0.45">
      <c r="A127" s="42" t="s">
        <v>124</v>
      </c>
      <c r="B127" s="43" t="s">
        <v>262</v>
      </c>
      <c r="C127" s="43"/>
      <c r="D127" s="44">
        <v>6000</v>
      </c>
      <c r="E127" s="43" t="s">
        <v>38</v>
      </c>
      <c r="F127" s="43" t="s">
        <v>189</v>
      </c>
      <c r="G127" s="43"/>
      <c r="H127" s="63">
        <f>H129</f>
        <v>6000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4.25" customHeight="1" x14ac:dyDescent="0.45">
      <c r="A128" s="46"/>
      <c r="B128" s="47"/>
      <c r="C128" s="47"/>
      <c r="D128" s="47"/>
      <c r="E128" s="47"/>
      <c r="F128" s="47"/>
      <c r="G128" s="47"/>
      <c r="H128" s="4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4.25" customHeight="1" x14ac:dyDescent="0.45">
      <c r="A129" s="46"/>
      <c r="B129" s="47"/>
      <c r="C129" s="47"/>
      <c r="D129" s="71">
        <f>SUM(D127)</f>
        <v>6000</v>
      </c>
      <c r="E129" s="69"/>
      <c r="F129" s="69"/>
      <c r="G129" s="69"/>
      <c r="H129" s="72">
        <f>D129</f>
        <v>6000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4.25" customHeight="1" x14ac:dyDescent="0.45">
      <c r="A130" s="52" t="s">
        <v>88</v>
      </c>
      <c r="B130" s="53" t="s">
        <v>112</v>
      </c>
      <c r="C130" s="53"/>
      <c r="D130" s="67">
        <f>H127</f>
        <v>6000</v>
      </c>
      <c r="E130" s="53"/>
      <c r="F130" s="53"/>
      <c r="G130" s="53"/>
      <c r="H130" s="5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4.25" customHeight="1" x14ac:dyDescent="0.45">
      <c r="A131" s="41" t="s">
        <v>263</v>
      </c>
      <c r="B131" s="40"/>
      <c r="C131" s="40"/>
      <c r="D131" s="40"/>
      <c r="E131" s="40"/>
      <c r="F131" s="40"/>
      <c r="G131" s="40"/>
      <c r="H131" s="40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4.25" customHeight="1" x14ac:dyDescent="0.45">
      <c r="A132" s="60" t="s">
        <v>415</v>
      </c>
      <c r="B132" s="40"/>
      <c r="C132" s="40"/>
      <c r="D132" s="40"/>
      <c r="E132" s="40"/>
      <c r="F132" s="40"/>
      <c r="G132" s="40"/>
      <c r="H132" s="40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4.25" customHeight="1" x14ac:dyDescent="0.45">
      <c r="A133" s="57" t="s">
        <v>3</v>
      </c>
      <c r="B133" s="58" t="s">
        <v>5</v>
      </c>
      <c r="C133" s="58" t="s">
        <v>15</v>
      </c>
      <c r="D133" s="58" t="s">
        <v>16</v>
      </c>
      <c r="E133" s="58" t="s">
        <v>3</v>
      </c>
      <c r="F133" s="58" t="s">
        <v>17</v>
      </c>
      <c r="G133" s="58" t="s">
        <v>15</v>
      </c>
      <c r="H133" s="59" t="s">
        <v>16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4.25" customHeight="1" x14ac:dyDescent="0.45">
      <c r="A134" s="42" t="s">
        <v>38</v>
      </c>
      <c r="B134" s="43" t="s">
        <v>40</v>
      </c>
      <c r="C134" s="43"/>
      <c r="D134" s="44">
        <f>D136</f>
        <v>7000</v>
      </c>
      <c r="E134" s="43" t="s">
        <v>185</v>
      </c>
      <c r="F134" s="43" t="s">
        <v>252</v>
      </c>
      <c r="G134" s="43"/>
      <c r="H134" s="63">
        <v>7000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4.25" customHeight="1" x14ac:dyDescent="0.45">
      <c r="A135" s="46"/>
      <c r="B135" s="47"/>
      <c r="C135" s="47"/>
      <c r="D135" s="47"/>
      <c r="E135" s="47"/>
      <c r="F135" s="47"/>
      <c r="G135" s="47"/>
      <c r="H135" s="4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4.25" customHeight="1" x14ac:dyDescent="0.45">
      <c r="A136" s="46"/>
      <c r="B136" s="47"/>
      <c r="C136" s="47"/>
      <c r="D136" s="71">
        <f>H136</f>
        <v>7000</v>
      </c>
      <c r="E136" s="69"/>
      <c r="F136" s="69"/>
      <c r="G136" s="69"/>
      <c r="H136" s="72">
        <f>SUM(H134)</f>
        <v>7000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4.25" customHeight="1" x14ac:dyDescent="0.45">
      <c r="A137" s="52"/>
      <c r="B137" s="53"/>
      <c r="C137" s="53"/>
      <c r="D137" s="53"/>
      <c r="E137" s="53" t="s">
        <v>88</v>
      </c>
      <c r="F137" s="53" t="s">
        <v>90</v>
      </c>
      <c r="G137" s="53"/>
      <c r="H137" s="66">
        <f>D134</f>
        <v>7000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4.25" customHeight="1" x14ac:dyDescent="0.45">
      <c r="A138" s="41" t="s">
        <v>264</v>
      </c>
      <c r="B138" s="40"/>
      <c r="C138" s="40"/>
      <c r="D138" s="40"/>
      <c r="E138" s="40"/>
      <c r="F138" s="40"/>
      <c r="G138" s="40"/>
      <c r="H138" s="4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4.25" customHeight="1" x14ac:dyDescent="0.45">
      <c r="A139" s="60" t="s">
        <v>415</v>
      </c>
      <c r="B139" s="40"/>
      <c r="C139" s="40"/>
      <c r="D139" s="40"/>
      <c r="E139" s="40"/>
      <c r="F139" s="40"/>
      <c r="G139" s="40"/>
      <c r="H139" s="4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4.25" customHeight="1" x14ac:dyDescent="0.45">
      <c r="A140" s="57" t="s">
        <v>3</v>
      </c>
      <c r="B140" s="58" t="s">
        <v>5</v>
      </c>
      <c r="C140" s="58" t="s">
        <v>15</v>
      </c>
      <c r="D140" s="58" t="s">
        <v>16</v>
      </c>
      <c r="E140" s="58" t="s">
        <v>3</v>
      </c>
      <c r="F140" s="58" t="s">
        <v>17</v>
      </c>
      <c r="G140" s="58" t="s">
        <v>15</v>
      </c>
      <c r="H140" s="59" t="s">
        <v>16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4.25" customHeight="1" x14ac:dyDescent="0.45">
      <c r="A141" s="42" t="s">
        <v>145</v>
      </c>
      <c r="B141" s="43" t="s">
        <v>217</v>
      </c>
      <c r="C141" s="43"/>
      <c r="D141" s="44">
        <v>18000</v>
      </c>
      <c r="E141" s="43" t="s">
        <v>38</v>
      </c>
      <c r="F141" s="43" t="s">
        <v>189</v>
      </c>
      <c r="G141" s="43"/>
      <c r="H141" s="63">
        <f>H143</f>
        <v>18000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4.25" customHeight="1" x14ac:dyDescent="0.45">
      <c r="A142" s="46"/>
      <c r="B142" s="47"/>
      <c r="C142" s="47"/>
      <c r="D142" s="47"/>
      <c r="E142" s="47"/>
      <c r="F142" s="47"/>
      <c r="G142" s="47"/>
      <c r="H142" s="4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4.25" customHeight="1" x14ac:dyDescent="0.45">
      <c r="A143" s="46"/>
      <c r="B143" s="47"/>
      <c r="C143" s="47"/>
      <c r="D143" s="71">
        <f>SUM(D141)</f>
        <v>18000</v>
      </c>
      <c r="E143" s="69"/>
      <c r="F143" s="69"/>
      <c r="G143" s="69"/>
      <c r="H143" s="72">
        <f>D143</f>
        <v>18000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4.25" customHeight="1" x14ac:dyDescent="0.45">
      <c r="A144" s="52" t="s">
        <v>88</v>
      </c>
      <c r="B144" s="53" t="s">
        <v>112</v>
      </c>
      <c r="C144" s="53"/>
      <c r="D144" s="67">
        <f>H141</f>
        <v>18000</v>
      </c>
      <c r="E144" s="53"/>
      <c r="F144" s="53"/>
      <c r="G144" s="53"/>
      <c r="H144" s="5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4.25" customHeight="1" x14ac:dyDescent="0.45">
      <c r="A145" s="41" t="s">
        <v>265</v>
      </c>
      <c r="B145" s="40"/>
      <c r="C145" s="40"/>
      <c r="D145" s="40"/>
      <c r="E145" s="40"/>
      <c r="F145" s="40"/>
      <c r="G145" s="40"/>
      <c r="H145" s="40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4.25" customHeight="1" x14ac:dyDescent="0.45">
      <c r="A146" s="60" t="s">
        <v>415</v>
      </c>
      <c r="B146" s="40"/>
      <c r="C146" s="40"/>
      <c r="D146" s="40"/>
      <c r="E146" s="40"/>
      <c r="F146" s="40"/>
      <c r="G146" s="40"/>
      <c r="H146" s="40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4.25" customHeight="1" x14ac:dyDescent="0.45">
      <c r="A147" s="57" t="s">
        <v>3</v>
      </c>
      <c r="B147" s="58" t="s">
        <v>5</v>
      </c>
      <c r="C147" s="58" t="s">
        <v>15</v>
      </c>
      <c r="D147" s="58" t="s">
        <v>16</v>
      </c>
      <c r="E147" s="58" t="s">
        <v>3</v>
      </c>
      <c r="F147" s="58" t="s">
        <v>17</v>
      </c>
      <c r="G147" s="58" t="s">
        <v>15</v>
      </c>
      <c r="H147" s="59" t="s">
        <v>16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4.25" customHeight="1" x14ac:dyDescent="0.45">
      <c r="A148" s="42" t="s">
        <v>38</v>
      </c>
      <c r="B148" s="43" t="s">
        <v>40</v>
      </c>
      <c r="C148" s="43"/>
      <c r="D148" s="44">
        <f>D150</f>
        <v>125000</v>
      </c>
      <c r="E148" s="43" t="s">
        <v>12</v>
      </c>
      <c r="F148" s="43" t="s">
        <v>189</v>
      </c>
      <c r="G148" s="43"/>
      <c r="H148" s="63">
        <v>40000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4.25" customHeight="1" x14ac:dyDescent="0.45">
      <c r="A149" s="46"/>
      <c r="B149" s="47"/>
      <c r="C149" s="47"/>
      <c r="D149" s="47"/>
      <c r="E149" s="47" t="s">
        <v>201</v>
      </c>
      <c r="F149" s="47" t="s">
        <v>114</v>
      </c>
      <c r="G149" s="47"/>
      <c r="H149" s="50">
        <v>85000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4.25" customHeight="1" x14ac:dyDescent="0.45">
      <c r="A150" s="46"/>
      <c r="B150" s="47"/>
      <c r="C150" s="47"/>
      <c r="D150" s="71">
        <f>H150</f>
        <v>125000</v>
      </c>
      <c r="E150" s="69"/>
      <c r="F150" s="69"/>
      <c r="G150" s="69"/>
      <c r="H150" s="72">
        <f>SUM(H148:H149)</f>
        <v>125000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4.25" customHeight="1" x14ac:dyDescent="0.45">
      <c r="A151" s="52"/>
      <c r="B151" s="53"/>
      <c r="C151" s="53"/>
      <c r="D151" s="53"/>
      <c r="E151" s="53" t="s">
        <v>88</v>
      </c>
      <c r="F151" s="53" t="s">
        <v>90</v>
      </c>
      <c r="G151" s="53"/>
      <c r="H151" s="66">
        <f>D148</f>
        <v>125000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4.25" customHeight="1" x14ac:dyDescent="0.45">
      <c r="A152" s="41" t="s">
        <v>266</v>
      </c>
      <c r="B152" s="40"/>
      <c r="C152" s="40"/>
      <c r="D152" s="40"/>
      <c r="E152" s="40"/>
      <c r="F152" s="40"/>
      <c r="G152" s="40"/>
      <c r="H152" s="40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4.25" customHeight="1" x14ac:dyDescent="0.45">
      <c r="A153" s="60" t="s">
        <v>415</v>
      </c>
      <c r="B153" s="40"/>
      <c r="C153" s="40"/>
      <c r="D153" s="40"/>
      <c r="E153" s="40"/>
      <c r="F153" s="40"/>
      <c r="G153" s="40"/>
      <c r="H153" s="40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4.25" customHeight="1" x14ac:dyDescent="0.45">
      <c r="A154" s="57" t="s">
        <v>3</v>
      </c>
      <c r="B154" s="58" t="s">
        <v>5</v>
      </c>
      <c r="C154" s="58" t="s">
        <v>15</v>
      </c>
      <c r="D154" s="58" t="s">
        <v>16</v>
      </c>
      <c r="E154" s="58" t="s">
        <v>3</v>
      </c>
      <c r="F154" s="58" t="s">
        <v>17</v>
      </c>
      <c r="G154" s="58" t="s">
        <v>15</v>
      </c>
      <c r="H154" s="59" t="s">
        <v>16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4.25" customHeight="1" x14ac:dyDescent="0.45">
      <c r="A155" s="42" t="s">
        <v>12</v>
      </c>
      <c r="B155" s="43" t="s">
        <v>112</v>
      </c>
      <c r="C155" s="62"/>
      <c r="D155" s="44">
        <v>45000</v>
      </c>
      <c r="E155" s="43" t="s">
        <v>212</v>
      </c>
      <c r="F155" s="43" t="s">
        <v>30</v>
      </c>
      <c r="G155" s="62"/>
      <c r="H155" s="63">
        <v>110000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4.25" customHeight="1" x14ac:dyDescent="0.45">
      <c r="A156" s="46" t="s">
        <v>208</v>
      </c>
      <c r="B156" s="47" t="s">
        <v>118</v>
      </c>
      <c r="C156" s="47"/>
      <c r="D156" s="48">
        <v>120000</v>
      </c>
      <c r="E156" s="47" t="s">
        <v>38</v>
      </c>
      <c r="F156" s="47" t="s">
        <v>189</v>
      </c>
      <c r="G156" s="47"/>
      <c r="H156" s="50">
        <f>SUM(D158)-SUM(H155)</f>
        <v>55000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4.25" customHeight="1" x14ac:dyDescent="0.35">
      <c r="A157" s="64"/>
      <c r="B157" s="65"/>
      <c r="C157" s="65"/>
      <c r="D157" s="65"/>
      <c r="E157" s="65"/>
      <c r="F157" s="65"/>
      <c r="G157" s="65"/>
      <c r="H157" s="68"/>
    </row>
    <row r="158" spans="1:19" ht="14.25" customHeight="1" x14ac:dyDescent="0.45">
      <c r="A158" s="46"/>
      <c r="B158" s="47"/>
      <c r="C158" s="47"/>
      <c r="D158" s="71">
        <f>SUM(D155:D156)</f>
        <v>165000</v>
      </c>
      <c r="E158" s="69"/>
      <c r="F158" s="69"/>
      <c r="G158" s="69"/>
      <c r="H158" s="72">
        <f>D158</f>
        <v>165000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4.25" customHeight="1" x14ac:dyDescent="0.45">
      <c r="A159" s="52" t="s">
        <v>88</v>
      </c>
      <c r="B159" s="53" t="s">
        <v>112</v>
      </c>
      <c r="C159" s="53"/>
      <c r="D159" s="67">
        <f>H156</f>
        <v>55000</v>
      </c>
      <c r="E159" s="53"/>
      <c r="F159" s="53"/>
      <c r="G159" s="53"/>
      <c r="H159" s="5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4.25" customHeight="1" x14ac:dyDescent="0.45">
      <c r="A160" s="41" t="s">
        <v>267</v>
      </c>
      <c r="B160" s="40"/>
      <c r="C160" s="40"/>
      <c r="D160" s="40"/>
      <c r="E160" s="40"/>
      <c r="F160" s="40"/>
      <c r="G160" s="40"/>
      <c r="H160" s="40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4.25" customHeight="1" x14ac:dyDescent="0.45">
      <c r="A161" s="60" t="s">
        <v>415</v>
      </c>
      <c r="B161" s="40"/>
      <c r="C161" s="40"/>
      <c r="D161" s="40"/>
      <c r="E161" s="40"/>
      <c r="F161" s="40"/>
      <c r="G161" s="40"/>
      <c r="H161" s="40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4.25" customHeight="1" x14ac:dyDescent="0.45">
      <c r="A162" s="57" t="s">
        <v>3</v>
      </c>
      <c r="B162" s="58" t="s">
        <v>5</v>
      </c>
      <c r="C162" s="58" t="s">
        <v>15</v>
      </c>
      <c r="D162" s="58" t="s">
        <v>16</v>
      </c>
      <c r="E162" s="58" t="s">
        <v>3</v>
      </c>
      <c r="F162" s="58" t="s">
        <v>17</v>
      </c>
      <c r="G162" s="58" t="s">
        <v>15</v>
      </c>
      <c r="H162" s="59" t="s">
        <v>16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4.25" customHeight="1" x14ac:dyDescent="0.45">
      <c r="A163" s="42" t="s">
        <v>150</v>
      </c>
      <c r="B163" s="43" t="s">
        <v>217</v>
      </c>
      <c r="C163" s="43"/>
      <c r="D163" s="44">
        <v>5500</v>
      </c>
      <c r="E163" s="43" t="s">
        <v>38</v>
      </c>
      <c r="F163" s="43" t="s">
        <v>189</v>
      </c>
      <c r="G163" s="43"/>
      <c r="H163" s="63">
        <f>H165</f>
        <v>5500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4.25" customHeight="1" x14ac:dyDescent="0.45">
      <c r="A164" s="46"/>
      <c r="B164" s="47"/>
      <c r="C164" s="47"/>
      <c r="D164" s="47"/>
      <c r="E164" s="47"/>
      <c r="F164" s="47"/>
      <c r="G164" s="47"/>
      <c r="H164" s="4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4.25" customHeight="1" x14ac:dyDescent="0.45">
      <c r="A165" s="46"/>
      <c r="B165" s="47"/>
      <c r="C165" s="47"/>
      <c r="D165" s="71">
        <f>SUM(D163)</f>
        <v>5500</v>
      </c>
      <c r="E165" s="69"/>
      <c r="F165" s="69"/>
      <c r="G165" s="69"/>
      <c r="H165" s="72">
        <f>D165</f>
        <v>5500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4.25" customHeight="1" x14ac:dyDescent="0.45">
      <c r="A166" s="52" t="s">
        <v>88</v>
      </c>
      <c r="B166" s="53" t="s">
        <v>112</v>
      </c>
      <c r="C166" s="53"/>
      <c r="D166" s="67">
        <f>H163</f>
        <v>5500</v>
      </c>
      <c r="E166" s="53"/>
      <c r="F166" s="53"/>
      <c r="G166" s="53"/>
      <c r="H166" s="5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4.25" customHeight="1" x14ac:dyDescent="0.45">
      <c r="A167" s="41" t="s">
        <v>268</v>
      </c>
      <c r="B167" s="40"/>
      <c r="C167" s="40"/>
      <c r="D167" s="40"/>
      <c r="E167" s="40"/>
      <c r="F167" s="40"/>
      <c r="G167" s="40"/>
      <c r="H167" s="40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4.25" customHeight="1" x14ac:dyDescent="0.45">
      <c r="A168" s="60" t="s">
        <v>415</v>
      </c>
      <c r="B168" s="40"/>
      <c r="C168" s="40"/>
      <c r="D168" s="40"/>
      <c r="E168" s="40"/>
      <c r="F168" s="40"/>
      <c r="G168" s="40"/>
      <c r="H168" s="40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4.25" customHeight="1" x14ac:dyDescent="0.45">
      <c r="A169" s="57" t="s">
        <v>3</v>
      </c>
      <c r="B169" s="58" t="s">
        <v>5</v>
      </c>
      <c r="C169" s="58" t="s">
        <v>15</v>
      </c>
      <c r="D169" s="58" t="s">
        <v>16</v>
      </c>
      <c r="E169" s="58" t="s">
        <v>3</v>
      </c>
      <c r="F169" s="58" t="s">
        <v>17</v>
      </c>
      <c r="G169" s="58" t="s">
        <v>15</v>
      </c>
      <c r="H169" s="59" t="s">
        <v>16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4.25" customHeight="1" x14ac:dyDescent="0.45">
      <c r="A170" s="42" t="s">
        <v>38</v>
      </c>
      <c r="B170" s="43" t="s">
        <v>40</v>
      </c>
      <c r="C170" s="43"/>
      <c r="D170" s="44">
        <f>D172</f>
        <v>9000</v>
      </c>
      <c r="E170" s="43" t="s">
        <v>132</v>
      </c>
      <c r="F170" s="43" t="s">
        <v>25</v>
      </c>
      <c r="G170" s="43"/>
      <c r="H170" s="63">
        <v>9000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4.25" customHeight="1" x14ac:dyDescent="0.45">
      <c r="A171" s="46"/>
      <c r="B171" s="47"/>
      <c r="C171" s="47"/>
      <c r="D171" s="47"/>
      <c r="E171" s="47"/>
      <c r="F171" s="47"/>
      <c r="G171" s="47"/>
      <c r="H171" s="4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4.25" customHeight="1" x14ac:dyDescent="0.45">
      <c r="A172" s="46"/>
      <c r="B172" s="47"/>
      <c r="C172" s="47"/>
      <c r="D172" s="71">
        <f>H172</f>
        <v>9000</v>
      </c>
      <c r="E172" s="69"/>
      <c r="F172" s="69"/>
      <c r="G172" s="69"/>
      <c r="H172" s="72">
        <f>SUM(H170)</f>
        <v>9000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4.25" customHeight="1" x14ac:dyDescent="0.45">
      <c r="A173" s="52"/>
      <c r="B173" s="53"/>
      <c r="C173" s="53"/>
      <c r="D173" s="53"/>
      <c r="E173" s="53" t="s">
        <v>88</v>
      </c>
      <c r="F173" s="53" t="s">
        <v>90</v>
      </c>
      <c r="G173" s="53"/>
      <c r="H173" s="66">
        <f>D170</f>
        <v>9000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4.25" customHeight="1" x14ac:dyDescent="0.45">
      <c r="A174" s="41" t="s">
        <v>269</v>
      </c>
      <c r="B174" s="40"/>
      <c r="C174" s="40"/>
      <c r="D174" s="40"/>
      <c r="E174" s="40"/>
      <c r="F174" s="40"/>
      <c r="G174" s="40"/>
      <c r="H174" s="40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4.25" customHeight="1" x14ac:dyDescent="0.45">
      <c r="A175" s="60" t="s">
        <v>415</v>
      </c>
      <c r="B175" s="40"/>
      <c r="C175" s="40"/>
      <c r="D175" s="40"/>
      <c r="E175" s="40"/>
      <c r="F175" s="40"/>
      <c r="G175" s="40"/>
      <c r="H175" s="40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4.25" customHeight="1" x14ac:dyDescent="0.45">
      <c r="A176" s="57" t="s">
        <v>3</v>
      </c>
      <c r="B176" s="58" t="s">
        <v>5</v>
      </c>
      <c r="C176" s="58" t="s">
        <v>15</v>
      </c>
      <c r="D176" s="58" t="s">
        <v>16</v>
      </c>
      <c r="E176" s="58" t="s">
        <v>3</v>
      </c>
      <c r="F176" s="58" t="s">
        <v>17</v>
      </c>
      <c r="G176" s="58" t="s">
        <v>15</v>
      </c>
      <c r="H176" s="59" t="s">
        <v>16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4.25" customHeight="1" x14ac:dyDescent="0.45">
      <c r="A177" s="42" t="s">
        <v>154</v>
      </c>
      <c r="B177" s="43" t="s">
        <v>217</v>
      </c>
      <c r="C177" s="43"/>
      <c r="D177" s="44">
        <v>12000</v>
      </c>
      <c r="E177" s="43" t="s">
        <v>38</v>
      </c>
      <c r="F177" s="43" t="s">
        <v>189</v>
      </c>
      <c r="G177" s="43"/>
      <c r="H177" s="63">
        <f>H179</f>
        <v>12000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4.25" customHeight="1" x14ac:dyDescent="0.45">
      <c r="A178" s="46"/>
      <c r="B178" s="47"/>
      <c r="C178" s="47"/>
      <c r="D178" s="47"/>
      <c r="E178" s="47"/>
      <c r="F178" s="47"/>
      <c r="G178" s="47"/>
      <c r="H178" s="4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4.25" customHeight="1" x14ac:dyDescent="0.45">
      <c r="A179" s="46"/>
      <c r="B179" s="47"/>
      <c r="C179" s="47"/>
      <c r="D179" s="71">
        <f>SUM(D177)</f>
        <v>12000</v>
      </c>
      <c r="E179" s="69"/>
      <c r="F179" s="69"/>
      <c r="G179" s="69"/>
      <c r="H179" s="72">
        <f>D179</f>
        <v>12000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4.25" customHeight="1" x14ac:dyDescent="0.45">
      <c r="A180" s="52" t="s">
        <v>88</v>
      </c>
      <c r="B180" s="53" t="s">
        <v>112</v>
      </c>
      <c r="C180" s="53"/>
      <c r="D180" s="67">
        <f>H177</f>
        <v>12000</v>
      </c>
      <c r="E180" s="53"/>
      <c r="F180" s="53"/>
      <c r="G180" s="53"/>
      <c r="H180" s="5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4.25" customHeight="1" x14ac:dyDescent="0.45">
      <c r="A181" s="41" t="s">
        <v>270</v>
      </c>
      <c r="B181" s="40"/>
      <c r="C181" s="40"/>
      <c r="D181" s="40"/>
      <c r="E181" s="40"/>
      <c r="F181" s="40"/>
      <c r="G181" s="40"/>
      <c r="H181" s="40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4.25" customHeight="1" x14ac:dyDescent="0.45">
      <c r="A182" s="60" t="s">
        <v>415</v>
      </c>
      <c r="B182" s="40"/>
      <c r="C182" s="40"/>
      <c r="D182" s="40"/>
      <c r="E182" s="40"/>
      <c r="F182" s="40"/>
      <c r="G182" s="40"/>
      <c r="H182" s="40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4.25" customHeight="1" x14ac:dyDescent="0.45">
      <c r="A183" s="57" t="s">
        <v>3</v>
      </c>
      <c r="B183" s="58" t="s">
        <v>5</v>
      </c>
      <c r="C183" s="58" t="s">
        <v>15</v>
      </c>
      <c r="D183" s="58" t="s">
        <v>16</v>
      </c>
      <c r="E183" s="58" t="s">
        <v>3</v>
      </c>
      <c r="F183" s="58" t="s">
        <v>17</v>
      </c>
      <c r="G183" s="58" t="s">
        <v>15</v>
      </c>
      <c r="H183" s="59" t="s">
        <v>16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4.25" customHeight="1" x14ac:dyDescent="0.45">
      <c r="A184" s="42" t="s">
        <v>229</v>
      </c>
      <c r="B184" s="43" t="s">
        <v>143</v>
      </c>
      <c r="C184" s="43"/>
      <c r="D184" s="44">
        <v>6000</v>
      </c>
      <c r="E184" s="43" t="s">
        <v>38</v>
      </c>
      <c r="F184" s="43" t="s">
        <v>189</v>
      </c>
      <c r="G184" s="43"/>
      <c r="H184" s="63">
        <f>H186</f>
        <v>6000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4.25" customHeight="1" x14ac:dyDescent="0.45">
      <c r="A185" s="46"/>
      <c r="B185" s="47"/>
      <c r="C185" s="47"/>
      <c r="D185" s="47"/>
      <c r="E185" s="47"/>
      <c r="F185" s="47"/>
      <c r="G185" s="47"/>
      <c r="H185" s="4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4.25" customHeight="1" x14ac:dyDescent="0.45">
      <c r="A186" s="46"/>
      <c r="B186" s="47"/>
      <c r="C186" s="47"/>
      <c r="D186" s="71">
        <f>SUM(D184)</f>
        <v>6000</v>
      </c>
      <c r="E186" s="69"/>
      <c r="F186" s="69"/>
      <c r="G186" s="69"/>
      <c r="H186" s="72">
        <f>D186</f>
        <v>6000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4.25" customHeight="1" x14ac:dyDescent="0.45">
      <c r="A187" s="52" t="s">
        <v>88</v>
      </c>
      <c r="B187" s="53" t="s">
        <v>112</v>
      </c>
      <c r="C187" s="53"/>
      <c r="D187" s="67">
        <f>H184</f>
        <v>6000</v>
      </c>
      <c r="E187" s="53"/>
      <c r="F187" s="53"/>
      <c r="G187" s="53"/>
      <c r="H187" s="5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4.25" customHeight="1" x14ac:dyDescent="0.45">
      <c r="A188" s="41" t="s">
        <v>271</v>
      </c>
      <c r="B188" s="40"/>
      <c r="C188" s="40"/>
      <c r="D188" s="40"/>
      <c r="E188" s="40"/>
      <c r="F188" s="40"/>
      <c r="G188" s="40"/>
      <c r="H188" s="40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4.25" customHeight="1" x14ac:dyDescent="0.45">
      <c r="A189" s="60" t="s">
        <v>415</v>
      </c>
      <c r="B189" s="40"/>
      <c r="C189" s="40"/>
      <c r="D189" s="40"/>
      <c r="E189" s="40"/>
      <c r="F189" s="40"/>
      <c r="G189" s="40"/>
      <c r="H189" s="40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4.25" customHeight="1" x14ac:dyDescent="0.45">
      <c r="A190" s="57" t="s">
        <v>3</v>
      </c>
      <c r="B190" s="58" t="s">
        <v>5</v>
      </c>
      <c r="C190" s="58" t="s">
        <v>15</v>
      </c>
      <c r="D190" s="58" t="s">
        <v>16</v>
      </c>
      <c r="E190" s="58" t="s">
        <v>3</v>
      </c>
      <c r="F190" s="58" t="s">
        <v>17</v>
      </c>
      <c r="G190" s="58" t="s">
        <v>15</v>
      </c>
      <c r="H190" s="59" t="s">
        <v>16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4.25" customHeight="1" x14ac:dyDescent="0.45">
      <c r="A191" s="42" t="s">
        <v>159</v>
      </c>
      <c r="B191" s="43" t="s">
        <v>217</v>
      </c>
      <c r="C191" s="43"/>
      <c r="D191" s="44">
        <v>4000</v>
      </c>
      <c r="E191" s="43" t="s">
        <v>38</v>
      </c>
      <c r="F191" s="43" t="s">
        <v>189</v>
      </c>
      <c r="G191" s="43"/>
      <c r="H191" s="63">
        <f>H193</f>
        <v>4000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4.25" customHeight="1" x14ac:dyDescent="0.45">
      <c r="A192" s="46"/>
      <c r="B192" s="47"/>
      <c r="C192" s="47"/>
      <c r="D192" s="47"/>
      <c r="E192" s="47"/>
      <c r="F192" s="47"/>
      <c r="G192" s="47"/>
      <c r="H192" s="4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4.25" customHeight="1" x14ac:dyDescent="0.45">
      <c r="A193" s="46"/>
      <c r="B193" s="47"/>
      <c r="C193" s="47"/>
      <c r="D193" s="71">
        <f>SUM(D191)</f>
        <v>4000</v>
      </c>
      <c r="E193" s="69"/>
      <c r="F193" s="69"/>
      <c r="G193" s="69"/>
      <c r="H193" s="72">
        <f>D193</f>
        <v>4000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4.25" customHeight="1" x14ac:dyDescent="0.45">
      <c r="A194" s="52" t="s">
        <v>88</v>
      </c>
      <c r="B194" s="53" t="s">
        <v>112</v>
      </c>
      <c r="C194" s="53"/>
      <c r="D194" s="67">
        <f>H191</f>
        <v>4000</v>
      </c>
      <c r="E194" s="53"/>
      <c r="F194" s="53"/>
      <c r="G194" s="53"/>
      <c r="H194" s="5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4.25" customHeight="1" x14ac:dyDescent="0.45">
      <c r="A195" s="41" t="s">
        <v>282</v>
      </c>
      <c r="B195" s="40"/>
      <c r="C195" s="40"/>
      <c r="D195" s="40"/>
      <c r="E195" s="40"/>
      <c r="F195" s="40"/>
      <c r="G195" s="40"/>
      <c r="H195" s="40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4.25" customHeight="1" x14ac:dyDescent="0.45">
      <c r="A196" s="60" t="s">
        <v>415</v>
      </c>
      <c r="B196" s="40"/>
      <c r="C196" s="40"/>
      <c r="D196" s="40"/>
      <c r="E196" s="40"/>
      <c r="F196" s="40"/>
      <c r="G196" s="40"/>
      <c r="H196" s="40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4.25" customHeight="1" x14ac:dyDescent="0.45">
      <c r="A197" s="57" t="s">
        <v>3</v>
      </c>
      <c r="B197" s="58" t="s">
        <v>5</v>
      </c>
      <c r="C197" s="58" t="s">
        <v>15</v>
      </c>
      <c r="D197" s="58" t="s">
        <v>16</v>
      </c>
      <c r="E197" s="58" t="s">
        <v>3</v>
      </c>
      <c r="F197" s="58" t="s">
        <v>17</v>
      </c>
      <c r="G197" s="58" t="s">
        <v>15</v>
      </c>
      <c r="H197" s="59" t="s">
        <v>16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4.25" customHeight="1" x14ac:dyDescent="0.45">
      <c r="A198" s="42" t="s">
        <v>38</v>
      </c>
      <c r="B198" s="43" t="s">
        <v>40</v>
      </c>
      <c r="C198" s="43"/>
      <c r="D198" s="44">
        <f>D200</f>
        <v>3000</v>
      </c>
      <c r="E198" s="43" t="s">
        <v>235</v>
      </c>
      <c r="F198" s="43" t="s">
        <v>30</v>
      </c>
      <c r="G198" s="43"/>
      <c r="H198" s="63">
        <v>3000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4.25" customHeight="1" x14ac:dyDescent="0.45">
      <c r="A199" s="46"/>
      <c r="B199" s="47"/>
      <c r="C199" s="47"/>
      <c r="D199" s="47"/>
      <c r="E199" s="47"/>
      <c r="F199" s="47"/>
      <c r="G199" s="47"/>
      <c r="H199" s="4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4.25" customHeight="1" x14ac:dyDescent="0.45">
      <c r="A200" s="46"/>
      <c r="B200" s="47"/>
      <c r="C200" s="47"/>
      <c r="D200" s="71">
        <f>H200</f>
        <v>3000</v>
      </c>
      <c r="E200" s="69"/>
      <c r="F200" s="69"/>
      <c r="G200" s="69"/>
      <c r="H200" s="72">
        <f>SUM(H198)</f>
        <v>3000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4.25" customHeight="1" x14ac:dyDescent="0.45">
      <c r="A201" s="52"/>
      <c r="B201" s="53"/>
      <c r="C201" s="53"/>
      <c r="D201" s="53"/>
      <c r="E201" s="53" t="s">
        <v>88</v>
      </c>
      <c r="F201" s="53" t="s">
        <v>90</v>
      </c>
      <c r="G201" s="53"/>
      <c r="H201" s="66">
        <f>D198</f>
        <v>3000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4.25" customHeight="1" x14ac:dyDescent="0.45">
      <c r="A202" s="41" t="s">
        <v>301</v>
      </c>
      <c r="B202" s="40"/>
      <c r="C202" s="40"/>
      <c r="D202" s="40"/>
      <c r="E202" s="40"/>
      <c r="F202" s="40"/>
      <c r="G202" s="40"/>
      <c r="H202" s="40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4.25" customHeight="1" x14ac:dyDescent="0.45">
      <c r="A203" s="60" t="s">
        <v>415</v>
      </c>
      <c r="B203" s="40"/>
      <c r="C203" s="40"/>
      <c r="D203" s="40"/>
      <c r="E203" s="40"/>
      <c r="F203" s="40"/>
      <c r="G203" s="40"/>
      <c r="H203" s="40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4.25" customHeight="1" x14ac:dyDescent="0.45">
      <c r="A204" s="57" t="s">
        <v>3</v>
      </c>
      <c r="B204" s="58" t="s">
        <v>5</v>
      </c>
      <c r="C204" s="58" t="s">
        <v>15</v>
      </c>
      <c r="D204" s="58" t="s">
        <v>16</v>
      </c>
      <c r="E204" s="58" t="s">
        <v>3</v>
      </c>
      <c r="F204" s="58" t="s">
        <v>17</v>
      </c>
      <c r="G204" s="58" t="s">
        <v>15</v>
      </c>
      <c r="H204" s="59" t="s">
        <v>16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4.25" customHeight="1" x14ac:dyDescent="0.45">
      <c r="A205" s="42" t="s">
        <v>169</v>
      </c>
      <c r="B205" s="43" t="s">
        <v>217</v>
      </c>
      <c r="C205" s="43"/>
      <c r="D205" s="44">
        <v>8500</v>
      </c>
      <c r="E205" s="43" t="s">
        <v>38</v>
      </c>
      <c r="F205" s="43" t="s">
        <v>189</v>
      </c>
      <c r="G205" s="43"/>
      <c r="H205" s="63">
        <f>H207</f>
        <v>8500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4.25" customHeight="1" x14ac:dyDescent="0.45">
      <c r="A206" s="46"/>
      <c r="B206" s="47"/>
      <c r="C206" s="47"/>
      <c r="D206" s="47"/>
      <c r="E206" s="47"/>
      <c r="F206" s="47"/>
      <c r="G206" s="47"/>
      <c r="H206" s="4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4.25" customHeight="1" x14ac:dyDescent="0.45">
      <c r="A207" s="46"/>
      <c r="B207" s="47"/>
      <c r="C207" s="47"/>
      <c r="D207" s="71">
        <f>SUM(D205)</f>
        <v>8500</v>
      </c>
      <c r="E207" s="69"/>
      <c r="F207" s="69"/>
      <c r="G207" s="69"/>
      <c r="H207" s="72">
        <f>D207</f>
        <v>8500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4.25" customHeight="1" x14ac:dyDescent="0.45">
      <c r="A208" s="52" t="s">
        <v>88</v>
      </c>
      <c r="B208" s="53" t="s">
        <v>112</v>
      </c>
      <c r="C208" s="53"/>
      <c r="D208" s="67">
        <f>H205</f>
        <v>8500</v>
      </c>
      <c r="E208" s="53"/>
      <c r="F208" s="53"/>
      <c r="G208" s="53"/>
      <c r="H208" s="5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4.25" customHeight="1" x14ac:dyDescent="0.45">
      <c r="A209" s="41" t="s">
        <v>317</v>
      </c>
      <c r="B209" s="40"/>
      <c r="C209" s="40"/>
      <c r="D209" s="40"/>
      <c r="E209" s="40"/>
      <c r="F209" s="40"/>
      <c r="G209" s="40"/>
      <c r="H209" s="40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4.25" customHeight="1" x14ac:dyDescent="0.45">
      <c r="A210" s="60" t="s">
        <v>414</v>
      </c>
      <c r="B210" s="40"/>
      <c r="C210" s="40"/>
      <c r="D210" s="40"/>
      <c r="E210" s="40"/>
      <c r="F210" s="40"/>
      <c r="G210" s="40"/>
      <c r="H210" s="40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4.25" customHeight="1" x14ac:dyDescent="0.45">
      <c r="A211" s="57" t="s">
        <v>3</v>
      </c>
      <c r="B211" s="58" t="s">
        <v>5</v>
      </c>
      <c r="C211" s="58" t="s">
        <v>15</v>
      </c>
      <c r="D211" s="58" t="s">
        <v>16</v>
      </c>
      <c r="E211" s="58" t="s">
        <v>3</v>
      </c>
      <c r="F211" s="58" t="s">
        <v>17</v>
      </c>
      <c r="G211" s="58" t="s">
        <v>15</v>
      </c>
      <c r="H211" s="59" t="s">
        <v>16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4.25" customHeight="1" x14ac:dyDescent="0.45">
      <c r="A212" s="42" t="s">
        <v>173</v>
      </c>
      <c r="B212" s="43" t="s">
        <v>217</v>
      </c>
      <c r="C212" s="43"/>
      <c r="D212" s="44">
        <v>2500</v>
      </c>
      <c r="E212" s="43" t="s">
        <v>38</v>
      </c>
      <c r="F212" s="43" t="s">
        <v>189</v>
      </c>
      <c r="G212" s="43"/>
      <c r="H212" s="63">
        <f>H214</f>
        <v>2500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4.25" customHeight="1" x14ac:dyDescent="0.45">
      <c r="A213" s="46"/>
      <c r="B213" s="47"/>
      <c r="C213" s="47"/>
      <c r="D213" s="47"/>
      <c r="E213" s="47"/>
      <c r="F213" s="47"/>
      <c r="G213" s="47"/>
      <c r="H213" s="4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4.25" customHeight="1" x14ac:dyDescent="0.45">
      <c r="A214" s="46"/>
      <c r="B214" s="47"/>
      <c r="C214" s="47"/>
      <c r="D214" s="71">
        <f>SUM(D212)</f>
        <v>2500</v>
      </c>
      <c r="E214" s="69"/>
      <c r="F214" s="69"/>
      <c r="G214" s="69"/>
      <c r="H214" s="72">
        <f>D214</f>
        <v>2500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4.25" customHeight="1" x14ac:dyDescent="0.45">
      <c r="A215" s="52" t="s">
        <v>88</v>
      </c>
      <c r="B215" s="53" t="s">
        <v>112</v>
      </c>
      <c r="C215" s="53"/>
      <c r="D215" s="67">
        <f>H212</f>
        <v>2500</v>
      </c>
      <c r="E215" s="53"/>
      <c r="F215" s="53"/>
      <c r="G215" s="53"/>
      <c r="H215" s="5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4.25" customHeight="1" x14ac:dyDescent="0.45">
      <c r="A216" s="41" t="s">
        <v>321</v>
      </c>
      <c r="B216" s="40"/>
      <c r="C216" s="40"/>
      <c r="D216" s="40"/>
      <c r="E216" s="40"/>
      <c r="F216" s="40"/>
      <c r="G216" s="40"/>
      <c r="H216" s="40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4.25" customHeight="1" x14ac:dyDescent="0.45">
      <c r="A217" s="60" t="s">
        <v>415</v>
      </c>
      <c r="B217" s="40"/>
      <c r="C217" s="40"/>
      <c r="D217" s="40"/>
      <c r="E217" s="40"/>
      <c r="F217" s="40"/>
      <c r="G217" s="40"/>
      <c r="H217" s="40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4.25" customHeight="1" x14ac:dyDescent="0.45">
      <c r="A218" s="57" t="s">
        <v>3</v>
      </c>
      <c r="B218" s="58" t="s">
        <v>5</v>
      </c>
      <c r="C218" s="58" t="s">
        <v>15</v>
      </c>
      <c r="D218" s="58" t="s">
        <v>16</v>
      </c>
      <c r="E218" s="58" t="s">
        <v>3</v>
      </c>
      <c r="F218" s="58" t="s">
        <v>17</v>
      </c>
      <c r="G218" s="58" t="s">
        <v>15</v>
      </c>
      <c r="H218" s="59" t="s">
        <v>16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4.25" customHeight="1" x14ac:dyDescent="0.45">
      <c r="A219" s="42" t="s">
        <v>12</v>
      </c>
      <c r="B219" s="43" t="s">
        <v>112</v>
      </c>
      <c r="C219" s="62"/>
      <c r="D219" s="44">
        <v>60000</v>
      </c>
      <c r="E219" s="43" t="s">
        <v>38</v>
      </c>
      <c r="F219" s="43" t="s">
        <v>189</v>
      </c>
      <c r="G219" s="43"/>
      <c r="H219" s="63">
        <f>H221</f>
        <v>85000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4.25" customHeight="1" x14ac:dyDescent="0.45">
      <c r="A220" s="46" t="s">
        <v>175</v>
      </c>
      <c r="B220" s="47" t="s">
        <v>217</v>
      </c>
      <c r="C220" s="47"/>
      <c r="D220" s="48">
        <v>25000</v>
      </c>
      <c r="E220" s="47"/>
      <c r="F220" s="47"/>
      <c r="G220" s="47"/>
      <c r="H220" s="4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4.25" customHeight="1" x14ac:dyDescent="0.45">
      <c r="A221" s="46"/>
      <c r="B221" s="47"/>
      <c r="C221" s="47"/>
      <c r="D221" s="71">
        <f>SUM(D219:D220)</f>
        <v>85000</v>
      </c>
      <c r="E221" s="69"/>
      <c r="F221" s="69"/>
      <c r="G221" s="69"/>
      <c r="H221" s="72">
        <f>D221</f>
        <v>85000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4.25" customHeight="1" x14ac:dyDescent="0.45">
      <c r="A222" s="52" t="s">
        <v>88</v>
      </c>
      <c r="B222" s="53" t="s">
        <v>112</v>
      </c>
      <c r="C222" s="53"/>
      <c r="D222" s="67">
        <f>H219</f>
        <v>85000</v>
      </c>
      <c r="E222" s="53"/>
      <c r="F222" s="53"/>
      <c r="G222" s="53"/>
      <c r="H222" s="5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4.25" customHeight="1" x14ac:dyDescent="0.45">
      <c r="A223" s="41" t="s">
        <v>323</v>
      </c>
      <c r="B223" s="40"/>
      <c r="C223" s="40"/>
      <c r="D223" s="40"/>
      <c r="E223" s="40"/>
      <c r="F223" s="40"/>
      <c r="G223" s="40"/>
      <c r="H223" s="40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4.25" customHeight="1" x14ac:dyDescent="0.45">
      <c r="A224" s="60" t="s">
        <v>415</v>
      </c>
      <c r="B224" s="40"/>
      <c r="C224" s="40"/>
      <c r="D224" s="40"/>
      <c r="E224" s="40"/>
      <c r="F224" s="40"/>
      <c r="G224" s="40"/>
      <c r="H224" s="40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4.25" customHeight="1" x14ac:dyDescent="0.45">
      <c r="A225" s="57" t="s">
        <v>3</v>
      </c>
      <c r="B225" s="58" t="s">
        <v>5</v>
      </c>
      <c r="C225" s="58" t="s">
        <v>15</v>
      </c>
      <c r="D225" s="58" t="s">
        <v>16</v>
      </c>
      <c r="E225" s="58" t="s">
        <v>3</v>
      </c>
      <c r="F225" s="58" t="s">
        <v>17</v>
      </c>
      <c r="G225" s="58" t="s">
        <v>15</v>
      </c>
      <c r="H225" s="59" t="s">
        <v>16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4.25" customHeight="1" x14ac:dyDescent="0.45">
      <c r="A226" s="42" t="s">
        <v>181</v>
      </c>
      <c r="B226" s="43" t="s">
        <v>217</v>
      </c>
      <c r="C226" s="43"/>
      <c r="D226" s="44">
        <v>5000</v>
      </c>
      <c r="E226" s="43" t="s">
        <v>38</v>
      </c>
      <c r="F226" s="43" t="s">
        <v>189</v>
      </c>
      <c r="G226" s="43"/>
      <c r="H226" s="63">
        <f>H228</f>
        <v>5000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4.25" customHeight="1" x14ac:dyDescent="0.45">
      <c r="A227" s="64"/>
      <c r="B227" s="65"/>
      <c r="C227" s="65"/>
      <c r="D227" s="65"/>
      <c r="E227" s="47"/>
      <c r="F227" s="47"/>
      <c r="G227" s="47"/>
      <c r="H227" s="4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4.25" customHeight="1" x14ac:dyDescent="0.45">
      <c r="A228" s="46"/>
      <c r="B228" s="47"/>
      <c r="C228" s="47"/>
      <c r="D228" s="71">
        <f>SUM(D226)</f>
        <v>5000</v>
      </c>
      <c r="E228" s="69"/>
      <c r="F228" s="69"/>
      <c r="G228" s="69"/>
      <c r="H228" s="72">
        <f>D228</f>
        <v>5000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4.25" customHeight="1" x14ac:dyDescent="0.45">
      <c r="A229" s="52" t="s">
        <v>88</v>
      </c>
      <c r="B229" s="53" t="s">
        <v>112</v>
      </c>
      <c r="C229" s="53"/>
      <c r="D229" s="67">
        <f>H226</f>
        <v>5000</v>
      </c>
      <c r="E229" s="53"/>
      <c r="F229" s="53"/>
      <c r="G229" s="53"/>
      <c r="H229" s="5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4.2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4.2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4.2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4.2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4.2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4.2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4.2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4.2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4.2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4.2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4.2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4.2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4.2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4.2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4.2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4.2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4.2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4.2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4.2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4.2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4.2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4.2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4.2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4.2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4.2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4.2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4.2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4.2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4.2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4.2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4.2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4.2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4.2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4.2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4.2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4.2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4.2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4.2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4.2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4.2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4.2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4.2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4.2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4.2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4.2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4.2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4.2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4.2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4.2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4.2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4.2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4.2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4.2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4.2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4.2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4.2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4.2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4.2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4.2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4.2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4.2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4.2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4.2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4.2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4.2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4.2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4.2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4.2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4.2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4.2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4.2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4.2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4.2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4.2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4.2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4.2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4.2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4.2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4.2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4.2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4.2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4.2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4.2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4.2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4.2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4.2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4.2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4.2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4.2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4.2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4.2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4.2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4.25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4.25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4.25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4.25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4.25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4.25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4.25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4.25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4.25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4.25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4.25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4.25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4.25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4.25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4.25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4.25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4.25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4.25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4.25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4.25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4.25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4.25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4.25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4.25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4.25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4.25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4.25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4.25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4.25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4.25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4.25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4.25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4.25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4.25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4.25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4.25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4.25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4.25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4.25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4.25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4.25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4.25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4.25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4.25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4.25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4.25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4.25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4.25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4.25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4.25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4.25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4.25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4.25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4.25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4.25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4.25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4.25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4.25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4.25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4.25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4.25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4.25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4.25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4.25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4.25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4.25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4.25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4.25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4.25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4.25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4.25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4.25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4.25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4.25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4.25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4.25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4.25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4.25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4.25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4.25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4.25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4.25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4.25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4.25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4.25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4.25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4.25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4.25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4.25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4.25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4.25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4.25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4.25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4.25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4.25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4.25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4.25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4.25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4.25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4.25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4.25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4.25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4.25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4.25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4.25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4.25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4.25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4.25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4.25" customHeight="1" x14ac:dyDescent="0.35"/>
    <row r="431" spans="1:19" ht="14.25" customHeight="1" x14ac:dyDescent="0.35"/>
    <row r="432" spans="1:19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57">
    <mergeCell ref="A210:H210"/>
    <mergeCell ref="A216:H216"/>
    <mergeCell ref="A217:H217"/>
    <mergeCell ref="A223:H223"/>
    <mergeCell ref="A224:H224"/>
    <mergeCell ref="A168:H168"/>
    <mergeCell ref="A174:H174"/>
    <mergeCell ref="A202:H202"/>
    <mergeCell ref="A203:H203"/>
    <mergeCell ref="A209:H209"/>
    <mergeCell ref="A175:H175"/>
    <mergeCell ref="A181:H181"/>
    <mergeCell ref="A182:H182"/>
    <mergeCell ref="A188:H188"/>
    <mergeCell ref="A189:H189"/>
    <mergeCell ref="A195:H195"/>
    <mergeCell ref="A196:H196"/>
    <mergeCell ref="A152:H152"/>
    <mergeCell ref="A153:H153"/>
    <mergeCell ref="A160:H160"/>
    <mergeCell ref="A161:H161"/>
    <mergeCell ref="A167:H167"/>
    <mergeCell ref="A132:H132"/>
    <mergeCell ref="A138:H138"/>
    <mergeCell ref="A139:H139"/>
    <mergeCell ref="A145:H145"/>
    <mergeCell ref="A146:H146"/>
    <mergeCell ref="A117:H117"/>
    <mergeCell ref="A118:H118"/>
    <mergeCell ref="A124:H124"/>
    <mergeCell ref="A125:H125"/>
    <mergeCell ref="A131:H131"/>
    <mergeCell ref="A94:H94"/>
    <mergeCell ref="A100:H100"/>
    <mergeCell ref="A101:H101"/>
    <mergeCell ref="A107:H107"/>
    <mergeCell ref="A108:H108"/>
    <mergeCell ref="A79:H79"/>
    <mergeCell ref="A80:H80"/>
    <mergeCell ref="A86:H86"/>
    <mergeCell ref="A87:H87"/>
    <mergeCell ref="A93:H93"/>
    <mergeCell ref="A55:H55"/>
    <mergeCell ref="A63:H63"/>
    <mergeCell ref="A64:H64"/>
    <mergeCell ref="A72:H72"/>
    <mergeCell ref="A73:H73"/>
    <mergeCell ref="A35:H35"/>
    <mergeCell ref="A36:H36"/>
    <mergeCell ref="A45:H45"/>
    <mergeCell ref="A46:H46"/>
    <mergeCell ref="A54:H54"/>
    <mergeCell ref="A1:H1"/>
    <mergeCell ref="A2:H2"/>
    <mergeCell ref="A3:H3"/>
    <mergeCell ref="A15:H15"/>
    <mergeCell ref="A16:H16"/>
  </mergeCells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21" workbookViewId="0">
      <selection activeCell="C37" sqref="C37:D37"/>
    </sheetView>
  </sheetViews>
  <sheetFormatPr defaultColWidth="14.453125" defaultRowHeight="15" customHeight="1" x14ac:dyDescent="0.35"/>
  <cols>
    <col min="1" max="1" width="8.7265625" customWidth="1"/>
    <col min="2" max="2" width="32.81640625" customWidth="1"/>
    <col min="3" max="4" width="12" customWidth="1"/>
    <col min="5" max="26" width="8.7265625" customWidth="1"/>
  </cols>
  <sheetData>
    <row r="1" spans="1:26" ht="14.25" customHeight="1" x14ac:dyDescent="0.45">
      <c r="A1" s="55" t="s">
        <v>0</v>
      </c>
      <c r="B1" s="56"/>
      <c r="C1" s="56"/>
      <c r="D1" s="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5">
      <c r="A2" s="24"/>
      <c r="B2" s="24"/>
      <c r="C2" s="24"/>
      <c r="D2" s="2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45">
      <c r="A3" s="89" t="s">
        <v>6</v>
      </c>
      <c r="B3" s="90" t="s">
        <v>5</v>
      </c>
      <c r="C3" s="91" t="s">
        <v>8</v>
      </c>
      <c r="D3" s="90" t="s">
        <v>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45">
      <c r="A4" s="74">
        <v>1</v>
      </c>
      <c r="B4" s="75" t="s">
        <v>13</v>
      </c>
      <c r="C4" s="76">
        <v>132000</v>
      </c>
      <c r="D4" s="75" t="s">
        <v>19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45">
      <c r="A5" s="77">
        <v>2</v>
      </c>
      <c r="B5" s="78" t="s">
        <v>20</v>
      </c>
      <c r="C5" s="79">
        <v>47000</v>
      </c>
      <c r="D5" s="78" t="s">
        <v>19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45">
      <c r="A6" s="77">
        <v>3</v>
      </c>
      <c r="B6" s="78" t="s">
        <v>27</v>
      </c>
      <c r="C6" s="79">
        <v>260000</v>
      </c>
      <c r="D6" s="78" t="s">
        <v>19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45">
      <c r="A7" s="77">
        <v>4</v>
      </c>
      <c r="B7" s="78" t="s">
        <v>33</v>
      </c>
      <c r="C7" s="80" t="s">
        <v>19</v>
      </c>
      <c r="D7" s="81">
        <v>21000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45">
      <c r="A8" s="77">
        <v>5</v>
      </c>
      <c r="B8" s="78" t="s">
        <v>31</v>
      </c>
      <c r="C8" s="79">
        <v>4000</v>
      </c>
      <c r="D8" s="78" t="s">
        <v>19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45">
      <c r="A9" s="77">
        <v>6</v>
      </c>
      <c r="B9" s="78" t="s">
        <v>44</v>
      </c>
      <c r="C9" s="80" t="s">
        <v>19</v>
      </c>
      <c r="D9" s="81">
        <v>355000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45">
      <c r="A10" s="77">
        <v>7</v>
      </c>
      <c r="B10" s="78" t="s">
        <v>47</v>
      </c>
      <c r="C10" s="79">
        <v>4500</v>
      </c>
      <c r="D10" s="78" t="s">
        <v>19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45">
      <c r="A11" s="77">
        <v>8</v>
      </c>
      <c r="B11" s="78" t="s">
        <v>49</v>
      </c>
      <c r="C11" s="82">
        <v>15000</v>
      </c>
      <c r="D11" s="78" t="s">
        <v>19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45">
      <c r="A12" s="77">
        <v>9</v>
      </c>
      <c r="B12" s="78" t="s">
        <v>52</v>
      </c>
      <c r="C12" s="80" t="s">
        <v>19</v>
      </c>
      <c r="D12" s="81">
        <v>12000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45">
      <c r="A13" s="77">
        <v>10</v>
      </c>
      <c r="B13" s="78" t="s">
        <v>55</v>
      </c>
      <c r="C13" s="79">
        <v>10000</v>
      </c>
      <c r="D13" s="78" t="s">
        <v>19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45">
      <c r="A14" s="77">
        <v>11</v>
      </c>
      <c r="B14" s="78" t="s">
        <v>59</v>
      </c>
      <c r="C14" s="79">
        <v>50000</v>
      </c>
      <c r="D14" s="78" t="s">
        <v>19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45">
      <c r="A15" s="77">
        <v>12</v>
      </c>
      <c r="B15" s="78" t="s">
        <v>64</v>
      </c>
      <c r="C15" s="79">
        <v>22000</v>
      </c>
      <c r="D15" s="78" t="s">
        <v>19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45">
      <c r="A16" s="77">
        <v>13</v>
      </c>
      <c r="B16" s="78" t="s">
        <v>68</v>
      </c>
      <c r="C16" s="79">
        <v>6000</v>
      </c>
      <c r="D16" s="78" t="s">
        <v>19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45">
      <c r="A17" s="77">
        <v>14</v>
      </c>
      <c r="B17" s="78" t="s">
        <v>72</v>
      </c>
      <c r="C17" s="80" t="s">
        <v>19</v>
      </c>
      <c r="D17" s="81">
        <v>7000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45">
      <c r="A18" s="77">
        <v>15</v>
      </c>
      <c r="B18" s="78" t="s">
        <v>74</v>
      </c>
      <c r="C18" s="79">
        <v>18000</v>
      </c>
      <c r="D18" s="78" t="s">
        <v>19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45">
      <c r="A19" s="77">
        <v>16</v>
      </c>
      <c r="B19" s="78" t="s">
        <v>76</v>
      </c>
      <c r="C19" s="80" t="s">
        <v>19</v>
      </c>
      <c r="D19" s="81">
        <v>125000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45">
      <c r="A20" s="77">
        <v>17</v>
      </c>
      <c r="B20" s="78" t="s">
        <v>34</v>
      </c>
      <c r="C20" s="79">
        <v>55000</v>
      </c>
      <c r="D20" s="78" t="s">
        <v>19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45">
      <c r="A21" s="77">
        <v>18</v>
      </c>
      <c r="B21" s="78" t="s">
        <v>81</v>
      </c>
      <c r="C21" s="79">
        <v>5500</v>
      </c>
      <c r="D21" s="78" t="s">
        <v>19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45">
      <c r="A22" s="77">
        <v>19</v>
      </c>
      <c r="B22" s="78" t="s">
        <v>83</v>
      </c>
      <c r="C22" s="80" t="s">
        <v>19</v>
      </c>
      <c r="D22" s="81">
        <v>9000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45">
      <c r="A23" s="77">
        <v>20</v>
      </c>
      <c r="B23" s="78" t="s">
        <v>87</v>
      </c>
      <c r="C23" s="80" t="s">
        <v>19</v>
      </c>
      <c r="D23" s="81">
        <v>450000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45">
      <c r="A24" s="77">
        <v>21</v>
      </c>
      <c r="B24" s="78" t="s">
        <v>91</v>
      </c>
      <c r="C24" s="79">
        <v>12000</v>
      </c>
      <c r="D24" s="78" t="s">
        <v>19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45">
      <c r="A25" s="77">
        <v>22</v>
      </c>
      <c r="B25" s="78" t="s">
        <v>94</v>
      </c>
      <c r="C25" s="79">
        <v>6000</v>
      </c>
      <c r="D25" s="78" t="s">
        <v>19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45">
      <c r="A26" s="77">
        <v>23</v>
      </c>
      <c r="B26" s="78" t="s">
        <v>99</v>
      </c>
      <c r="C26" s="79">
        <v>4000</v>
      </c>
      <c r="D26" s="78" t="s">
        <v>19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45">
      <c r="A27" s="77">
        <v>24</v>
      </c>
      <c r="B27" s="78" t="s">
        <v>103</v>
      </c>
      <c r="C27" s="80" t="s">
        <v>19</v>
      </c>
      <c r="D27" s="81">
        <v>3000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45">
      <c r="A28" s="77">
        <v>25</v>
      </c>
      <c r="B28" s="78" t="s">
        <v>106</v>
      </c>
      <c r="C28" s="79">
        <v>8500</v>
      </c>
      <c r="D28" s="78" t="s">
        <v>19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45">
      <c r="A29" s="77">
        <v>26</v>
      </c>
      <c r="B29" s="78" t="s">
        <v>110</v>
      </c>
      <c r="C29" s="79">
        <v>2500</v>
      </c>
      <c r="D29" s="78" t="s">
        <v>19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45">
      <c r="A30" s="77">
        <v>27</v>
      </c>
      <c r="B30" s="78" t="s">
        <v>24</v>
      </c>
      <c r="C30" s="79">
        <v>85000</v>
      </c>
      <c r="D30" s="78" t="s">
        <v>19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45">
      <c r="A31" s="77">
        <v>28</v>
      </c>
      <c r="B31" s="78" t="s">
        <v>120</v>
      </c>
      <c r="C31" s="79">
        <v>5000</v>
      </c>
      <c r="D31" s="78" t="s">
        <v>19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45">
      <c r="A32" s="77">
        <v>29</v>
      </c>
      <c r="B32" s="78" t="s">
        <v>26</v>
      </c>
      <c r="C32" s="79">
        <v>200000</v>
      </c>
      <c r="D32" s="78" t="s">
        <v>19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45">
      <c r="A33" s="77">
        <v>30</v>
      </c>
      <c r="B33" s="78" t="s">
        <v>23</v>
      </c>
      <c r="C33" s="79">
        <v>90000</v>
      </c>
      <c r="D33" s="78" t="s">
        <v>19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45">
      <c r="A34" s="77">
        <v>31</v>
      </c>
      <c r="B34" s="78" t="s">
        <v>29</v>
      </c>
      <c r="C34" s="79">
        <v>40000</v>
      </c>
      <c r="D34" s="78" t="s">
        <v>19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45">
      <c r="A35" s="77">
        <v>32</v>
      </c>
      <c r="B35" s="78" t="s">
        <v>144</v>
      </c>
      <c r="C35" s="80" t="s">
        <v>19</v>
      </c>
      <c r="D35" s="81">
        <v>100000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45">
      <c r="A36" s="83"/>
      <c r="B36" s="84"/>
      <c r="C36" s="85"/>
      <c r="D36" s="8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45">
      <c r="A37" s="87" t="s">
        <v>158</v>
      </c>
      <c r="B37" s="88"/>
      <c r="C37" s="92">
        <f>SUM(C4:C34)</f>
        <v>1082000</v>
      </c>
      <c r="D37" s="93">
        <f>SUM(D7:D35)</f>
        <v>1082000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/>
    <row r="239" spans="1:26" ht="14.25" customHeight="1" x14ac:dyDescent="0.35"/>
    <row r="240" spans="1:26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A1:D1"/>
    <mergeCell ref="A37:B37"/>
  </mergeCells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F11"/>
    </sheetView>
  </sheetViews>
  <sheetFormatPr defaultColWidth="14.453125" defaultRowHeight="15" customHeight="1" x14ac:dyDescent="0.35"/>
  <cols>
    <col min="1" max="1" width="29.81640625" customWidth="1"/>
    <col min="2" max="3" width="17.453125" customWidth="1"/>
    <col min="4" max="4" width="22.81640625" customWidth="1"/>
    <col min="5" max="5" width="17.26953125" customWidth="1"/>
    <col min="6" max="6" width="17.453125" customWidth="1"/>
    <col min="7" max="7" width="8.7265625" customWidth="1"/>
    <col min="8" max="8" width="9.81640625" customWidth="1"/>
    <col min="9" max="26" width="8.7265625" customWidth="1"/>
  </cols>
  <sheetData>
    <row r="1" spans="1:26" ht="14.25" customHeight="1" x14ac:dyDescent="0.45">
      <c r="A1" s="55" t="s">
        <v>272</v>
      </c>
      <c r="B1" s="56"/>
      <c r="C1" s="56"/>
      <c r="D1" s="56"/>
      <c r="E1" s="56"/>
      <c r="F1" s="5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5">
      <c r="A2" s="94" t="s">
        <v>274</v>
      </c>
      <c r="B2" s="95"/>
      <c r="C2" s="95"/>
      <c r="D2" s="95"/>
      <c r="E2" s="95"/>
      <c r="F2" s="9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45">
      <c r="A3" s="57" t="s">
        <v>5</v>
      </c>
      <c r="B3" s="58" t="s">
        <v>16</v>
      </c>
      <c r="C3" s="58" t="s">
        <v>16</v>
      </c>
      <c r="D3" s="58" t="s">
        <v>5</v>
      </c>
      <c r="E3" s="58" t="s">
        <v>16</v>
      </c>
      <c r="F3" s="59" t="s">
        <v>16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45">
      <c r="A4" s="42" t="s">
        <v>277</v>
      </c>
      <c r="B4" s="43"/>
      <c r="C4" s="44">
        <v>90000</v>
      </c>
      <c r="D4" s="43" t="s">
        <v>279</v>
      </c>
      <c r="E4" s="44">
        <v>355000</v>
      </c>
      <c r="F4" s="4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45">
      <c r="A5" s="46" t="s">
        <v>281</v>
      </c>
      <c r="B5" s="48">
        <v>260000</v>
      </c>
      <c r="C5" s="47"/>
      <c r="D5" s="47" t="s">
        <v>416</v>
      </c>
      <c r="E5" s="67">
        <v>10000</v>
      </c>
      <c r="F5" s="50">
        <f>E4-E5</f>
        <v>345000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45">
      <c r="A6" s="46" t="s">
        <v>417</v>
      </c>
      <c r="B6" s="67">
        <v>12000</v>
      </c>
      <c r="C6" s="48">
        <f>B5-B6</f>
        <v>248000</v>
      </c>
      <c r="D6" s="47" t="s">
        <v>287</v>
      </c>
      <c r="E6" s="96"/>
      <c r="F6" s="50">
        <v>110000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45">
      <c r="A7" s="97" t="s">
        <v>289</v>
      </c>
      <c r="B7" s="96"/>
      <c r="C7" s="47"/>
      <c r="D7" s="47"/>
      <c r="E7" s="47"/>
      <c r="F7" s="49"/>
      <c r="G7" s="1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45">
      <c r="A8" s="46" t="s">
        <v>294</v>
      </c>
      <c r="B8" s="47"/>
      <c r="C8" s="48">
        <v>15000</v>
      </c>
      <c r="D8" s="47"/>
      <c r="E8" s="47"/>
      <c r="F8" s="4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45">
      <c r="A9" s="46" t="s">
        <v>296</v>
      </c>
      <c r="B9" s="47"/>
      <c r="C9" s="48">
        <v>4500</v>
      </c>
      <c r="D9" s="47"/>
      <c r="E9" s="47"/>
      <c r="F9" s="4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45">
      <c r="A10" s="46" t="s">
        <v>298</v>
      </c>
      <c r="B10" s="47"/>
      <c r="C10" s="48">
        <f>SUM(F11)-SUM(C4:C9)</f>
        <v>97500</v>
      </c>
      <c r="D10" s="47"/>
      <c r="E10" s="47"/>
      <c r="F10" s="4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45">
      <c r="A11" s="52"/>
      <c r="B11" s="53"/>
      <c r="C11" s="98">
        <f>F11</f>
        <v>455000</v>
      </c>
      <c r="D11" s="53"/>
      <c r="E11" s="53"/>
      <c r="F11" s="99">
        <f>SUM(F5:F6)</f>
        <v>455000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/>
    <row r="222" spans="1:26" ht="14.25" customHeight="1" x14ac:dyDescent="0.35"/>
    <row r="223" spans="1:26" ht="14.25" customHeight="1" x14ac:dyDescent="0.35"/>
    <row r="224" spans="1:26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A1:F1"/>
    <mergeCell ref="A2:F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11" workbookViewId="0">
      <selection activeCell="F21" sqref="F21"/>
    </sheetView>
  </sheetViews>
  <sheetFormatPr defaultColWidth="14.453125" defaultRowHeight="15" customHeight="1" x14ac:dyDescent="0.35"/>
  <cols>
    <col min="1" max="1" width="44.54296875" customWidth="1"/>
    <col min="2" max="3" width="17.453125" customWidth="1"/>
    <col min="4" max="4" width="34.54296875" customWidth="1"/>
    <col min="5" max="6" width="17.453125" customWidth="1"/>
    <col min="7" max="7" width="8.7265625" customWidth="1"/>
    <col min="8" max="8" width="10.54296875" customWidth="1"/>
    <col min="9" max="26" width="8.7265625" customWidth="1"/>
  </cols>
  <sheetData>
    <row r="1" spans="1:26" ht="14.25" customHeight="1" x14ac:dyDescent="0.45">
      <c r="A1" s="55" t="s">
        <v>273</v>
      </c>
      <c r="B1" s="56"/>
      <c r="C1" s="56"/>
      <c r="D1" s="56"/>
      <c r="E1" s="56"/>
      <c r="F1" s="5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5">
      <c r="A2" s="94" t="s">
        <v>275</v>
      </c>
      <c r="B2" s="95"/>
      <c r="C2" s="95"/>
      <c r="D2" s="95"/>
      <c r="E2" s="95"/>
      <c r="F2" s="9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45">
      <c r="A3" s="57" t="s">
        <v>5</v>
      </c>
      <c r="B3" s="58" t="s">
        <v>16</v>
      </c>
      <c r="C3" s="58" t="s">
        <v>16</v>
      </c>
      <c r="D3" s="58" t="s">
        <v>5</v>
      </c>
      <c r="E3" s="58" t="s">
        <v>16</v>
      </c>
      <c r="F3" s="59" t="s">
        <v>16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45">
      <c r="A4" s="42" t="s">
        <v>276</v>
      </c>
      <c r="B4" s="44">
        <v>22000</v>
      </c>
      <c r="C4" s="43"/>
      <c r="D4" s="43" t="s">
        <v>278</v>
      </c>
      <c r="E4" s="43"/>
      <c r="F4" s="63">
        <v>97500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45">
      <c r="A5" s="46" t="s">
        <v>418</v>
      </c>
      <c r="B5" s="67">
        <v>3000</v>
      </c>
      <c r="C5" s="48">
        <f>SUM(B4:B5)</f>
        <v>25000</v>
      </c>
      <c r="D5" s="47" t="s">
        <v>283</v>
      </c>
      <c r="E5" s="47"/>
      <c r="F5" s="50">
        <v>7000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45">
      <c r="A6" s="46" t="s">
        <v>285</v>
      </c>
      <c r="B6" s="96"/>
      <c r="C6" s="48">
        <v>6000</v>
      </c>
      <c r="D6" s="47" t="s">
        <v>288</v>
      </c>
      <c r="E6" s="47"/>
      <c r="F6" s="50">
        <v>9000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45">
      <c r="A7" s="46" t="s">
        <v>290</v>
      </c>
      <c r="B7" s="47"/>
      <c r="C7" s="48">
        <v>18000</v>
      </c>
      <c r="D7" s="47" t="s">
        <v>291</v>
      </c>
      <c r="E7" s="47"/>
      <c r="F7" s="50">
        <v>3000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45">
      <c r="A8" s="46" t="s">
        <v>293</v>
      </c>
      <c r="B8" s="47"/>
      <c r="C8" s="48">
        <v>5500</v>
      </c>
      <c r="D8" s="47"/>
      <c r="E8" s="47"/>
      <c r="F8" s="4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45">
      <c r="A9" s="46" t="s">
        <v>295</v>
      </c>
      <c r="B9" s="48">
        <v>6000</v>
      </c>
      <c r="C9" s="47"/>
      <c r="D9" s="47"/>
      <c r="E9" s="47"/>
      <c r="F9" s="49"/>
      <c r="G9" s="1"/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45">
      <c r="A10" s="46" t="s">
        <v>419</v>
      </c>
      <c r="B10" s="67">
        <v>1500</v>
      </c>
      <c r="C10" s="48">
        <f>B9-B10</f>
        <v>4500</v>
      </c>
      <c r="D10" s="47"/>
      <c r="E10" s="47"/>
      <c r="F10" s="49"/>
      <c r="G10" s="1"/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45">
      <c r="A11" s="46" t="s">
        <v>299</v>
      </c>
      <c r="B11" s="96"/>
      <c r="C11" s="48">
        <v>4000</v>
      </c>
      <c r="D11" s="47"/>
      <c r="E11" s="47"/>
      <c r="F11" s="49"/>
      <c r="G11" s="1"/>
      <c r="H11" s="1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45">
      <c r="A12" s="46" t="s">
        <v>300</v>
      </c>
      <c r="B12" s="47"/>
      <c r="C12" s="48">
        <v>8500</v>
      </c>
      <c r="D12" s="47"/>
      <c r="E12" s="47"/>
      <c r="F12" s="4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45">
      <c r="A13" s="46" t="s">
        <v>302</v>
      </c>
      <c r="B13" s="47"/>
      <c r="C13" s="48">
        <v>2500</v>
      </c>
      <c r="D13" s="47"/>
      <c r="E13" s="47"/>
      <c r="F13" s="49"/>
      <c r="G13" s="1"/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45">
      <c r="A14" s="46" t="s">
        <v>303</v>
      </c>
      <c r="B14" s="48">
        <v>5000</v>
      </c>
      <c r="C14" s="65"/>
      <c r="D14" s="47"/>
      <c r="E14" s="47"/>
      <c r="F14" s="49"/>
      <c r="G14" s="1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45">
      <c r="A15" s="46" t="s">
        <v>420</v>
      </c>
      <c r="B15" s="67">
        <v>2000</v>
      </c>
      <c r="C15" s="48">
        <f>SUM(B14:B15)</f>
        <v>7000</v>
      </c>
      <c r="D15" s="47"/>
      <c r="E15" s="47"/>
      <c r="F15" s="49"/>
      <c r="G15" s="1"/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45">
      <c r="A16" s="46" t="s">
        <v>305</v>
      </c>
      <c r="B16" s="96"/>
      <c r="C16" s="48">
        <v>1667</v>
      </c>
      <c r="D16" s="47"/>
      <c r="E16" s="47"/>
      <c r="F16" s="4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45">
      <c r="A17" s="46" t="s">
        <v>307</v>
      </c>
      <c r="B17" s="47"/>
      <c r="C17" s="47">
        <v>354</v>
      </c>
      <c r="D17" s="47"/>
      <c r="E17" s="47"/>
      <c r="F17" s="4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45">
      <c r="A18" s="46" t="s">
        <v>309</v>
      </c>
      <c r="B18" s="47"/>
      <c r="C18" s="48">
        <v>417</v>
      </c>
      <c r="D18" s="47"/>
      <c r="E18" s="47"/>
      <c r="F18" s="49"/>
      <c r="G18" s="1"/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45">
      <c r="A19" s="46" t="s">
        <v>311</v>
      </c>
      <c r="B19" s="47"/>
      <c r="C19" s="47">
        <v>333</v>
      </c>
      <c r="D19" s="47"/>
      <c r="E19" s="47"/>
      <c r="F19" s="4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45">
      <c r="A20" s="46" t="s">
        <v>313</v>
      </c>
      <c r="B20" s="47"/>
      <c r="C20" s="48">
        <f>SUM(F21)-SUM(C5:C19)</f>
        <v>32729</v>
      </c>
      <c r="D20" s="47"/>
      <c r="E20" s="47"/>
      <c r="F20" s="4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45">
      <c r="A21" s="52"/>
      <c r="B21" s="53"/>
      <c r="C21" s="98">
        <f>F21</f>
        <v>116500</v>
      </c>
      <c r="D21" s="100"/>
      <c r="E21" s="100"/>
      <c r="F21" s="99">
        <f>SUM(F4:F7)</f>
        <v>116500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/>
    <row r="223" spans="1:26" ht="14.25" customHeight="1" x14ac:dyDescent="0.35"/>
    <row r="224" spans="1:26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A1:F1"/>
    <mergeCell ref="A2:F2"/>
  </mergeCells>
  <pageMargins left="0.7" right="0.7" top="0.75" bottom="0.75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85" zoomScaleNormal="85" workbookViewId="0">
      <selection activeCell="D23" sqref="D23"/>
    </sheetView>
  </sheetViews>
  <sheetFormatPr defaultColWidth="14.453125" defaultRowHeight="15" customHeight="1" x14ac:dyDescent="0.35"/>
  <cols>
    <col min="1" max="1" width="43.08984375" customWidth="1"/>
    <col min="2" max="2" width="17.453125" customWidth="1"/>
    <col min="3" max="3" width="17.54296875" customWidth="1"/>
    <col min="4" max="4" width="45.90625" customWidth="1"/>
    <col min="5" max="6" width="17.54296875" customWidth="1"/>
    <col min="7" max="7" width="8.7265625" customWidth="1"/>
    <col min="8" max="8" width="9.81640625" customWidth="1"/>
    <col min="9" max="26" width="8.7265625" customWidth="1"/>
  </cols>
  <sheetData>
    <row r="1" spans="1:26" ht="14.25" customHeight="1" x14ac:dyDescent="0.45">
      <c r="A1" s="55" t="s">
        <v>280</v>
      </c>
      <c r="B1" s="56"/>
      <c r="C1" s="56"/>
      <c r="D1" s="56"/>
      <c r="E1" s="56"/>
      <c r="F1" s="5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5">
      <c r="A2" s="24"/>
      <c r="B2" s="24"/>
      <c r="C2" s="24"/>
      <c r="D2" s="24"/>
      <c r="E2" s="24"/>
      <c r="F2" s="2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45">
      <c r="A3" s="57" t="s">
        <v>284</v>
      </c>
      <c r="B3" s="58" t="s">
        <v>16</v>
      </c>
      <c r="C3" s="58" t="s">
        <v>16</v>
      </c>
      <c r="D3" s="58" t="s">
        <v>286</v>
      </c>
      <c r="E3" s="58" t="s">
        <v>16</v>
      </c>
      <c r="F3" s="59" t="s">
        <v>16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45">
      <c r="A4" s="42" t="s">
        <v>65</v>
      </c>
      <c r="B4" s="44">
        <v>450000</v>
      </c>
      <c r="C4" s="43"/>
      <c r="D4" s="101" t="s">
        <v>292</v>
      </c>
      <c r="E4" s="43"/>
      <c r="F4" s="4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45">
      <c r="A5" s="46" t="s">
        <v>421</v>
      </c>
      <c r="B5" s="67">
        <v>32729</v>
      </c>
      <c r="C5" s="47"/>
      <c r="D5" s="47" t="s">
        <v>297</v>
      </c>
      <c r="E5" s="48">
        <v>132000</v>
      </c>
      <c r="F5" s="4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45">
      <c r="A6" s="46"/>
      <c r="B6" s="102">
        <f>SUM(B4:B5)</f>
        <v>482729</v>
      </c>
      <c r="C6" s="47"/>
      <c r="D6" s="47" t="s">
        <v>32</v>
      </c>
      <c r="E6" s="67">
        <v>47000</v>
      </c>
      <c r="F6" s="50">
        <f>SUM(E5:E6)</f>
        <v>179000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45">
      <c r="A7" s="46" t="s">
        <v>422</v>
      </c>
      <c r="B7" s="67">
        <v>12000</v>
      </c>
      <c r="C7" s="48">
        <f>B6-B7</f>
        <v>470729</v>
      </c>
      <c r="D7" s="47" t="s">
        <v>304</v>
      </c>
      <c r="E7" s="96"/>
      <c r="F7" s="50">
        <v>4000</v>
      </c>
      <c r="G7" s="1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45">
      <c r="A8" s="97" t="s">
        <v>306</v>
      </c>
      <c r="B8" s="96"/>
      <c r="C8" s="47"/>
      <c r="D8" s="47" t="s">
        <v>308</v>
      </c>
      <c r="E8" s="47"/>
      <c r="F8" s="50">
        <v>55000</v>
      </c>
      <c r="G8" s="1"/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45">
      <c r="A9" s="46" t="s">
        <v>70</v>
      </c>
      <c r="B9" s="47"/>
      <c r="C9" s="48">
        <v>100000</v>
      </c>
      <c r="D9" s="47" t="s">
        <v>310</v>
      </c>
      <c r="E9" s="47"/>
      <c r="F9" s="50">
        <v>1500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45">
      <c r="A10" s="97" t="s">
        <v>312</v>
      </c>
      <c r="B10" s="47"/>
      <c r="C10" s="47"/>
      <c r="D10" s="47" t="s">
        <v>314</v>
      </c>
      <c r="E10" s="47"/>
      <c r="F10" s="50">
        <v>110000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45">
      <c r="A11" s="46" t="s">
        <v>315</v>
      </c>
      <c r="B11" s="47"/>
      <c r="C11" s="48">
        <v>21000</v>
      </c>
      <c r="D11" s="103" t="s">
        <v>316</v>
      </c>
      <c r="E11" s="47"/>
      <c r="F11" s="4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45">
      <c r="A12" s="46" t="s">
        <v>318</v>
      </c>
      <c r="B12" s="47"/>
      <c r="C12" s="48">
        <v>125000</v>
      </c>
      <c r="D12" s="47" t="s">
        <v>48</v>
      </c>
      <c r="E12" s="48">
        <v>40000</v>
      </c>
      <c r="F12" s="4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45">
      <c r="A13" s="46" t="s">
        <v>319</v>
      </c>
      <c r="B13" s="47"/>
      <c r="C13" s="48">
        <v>3000</v>
      </c>
      <c r="D13" s="47" t="s">
        <v>423</v>
      </c>
      <c r="E13" s="53">
        <v>333</v>
      </c>
      <c r="F13" s="50">
        <f>E12-E13</f>
        <v>39667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45">
      <c r="A14" s="46" t="s">
        <v>320</v>
      </c>
      <c r="B14" s="47"/>
      <c r="C14" s="48">
        <v>2000</v>
      </c>
      <c r="D14" s="47" t="s">
        <v>43</v>
      </c>
      <c r="E14" s="102">
        <v>85000</v>
      </c>
      <c r="F14" s="49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45">
      <c r="A15" s="46"/>
      <c r="B15" s="47"/>
      <c r="C15" s="47"/>
      <c r="D15" s="47" t="s">
        <v>424</v>
      </c>
      <c r="E15" s="53">
        <v>354</v>
      </c>
      <c r="F15" s="50">
        <f>E14-E15</f>
        <v>84646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45">
      <c r="A16" s="46"/>
      <c r="B16" s="47"/>
      <c r="C16" s="47"/>
      <c r="D16" s="47" t="s">
        <v>46</v>
      </c>
      <c r="E16" s="102">
        <v>200000</v>
      </c>
      <c r="F16" s="4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45">
      <c r="A17" s="46"/>
      <c r="B17" s="47"/>
      <c r="C17" s="47"/>
      <c r="D17" s="47" t="s">
        <v>425</v>
      </c>
      <c r="E17" s="67">
        <v>1667</v>
      </c>
      <c r="F17" s="50">
        <f>E16-E17</f>
        <v>198333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45">
      <c r="A18" s="46"/>
      <c r="B18" s="47"/>
      <c r="C18" s="47"/>
      <c r="D18" s="47" t="s">
        <v>322</v>
      </c>
      <c r="E18" s="102">
        <v>50000</v>
      </c>
      <c r="F18" s="4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45">
      <c r="A19" s="46"/>
      <c r="B19" s="47"/>
      <c r="C19" s="47"/>
      <c r="D19" s="47" t="s">
        <v>425</v>
      </c>
      <c r="E19" s="67">
        <v>417</v>
      </c>
      <c r="F19" s="50">
        <f>E18-E19</f>
        <v>49583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45">
      <c r="A20" s="46"/>
      <c r="B20" s="47"/>
      <c r="C20" s="47"/>
      <c r="D20" s="47"/>
      <c r="E20" s="96"/>
      <c r="F20" s="4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45">
      <c r="A21" s="52"/>
      <c r="B21" s="53"/>
      <c r="C21" s="98">
        <f>SUM(C7:C14)</f>
        <v>721729</v>
      </c>
      <c r="D21" s="104"/>
      <c r="E21" s="104"/>
      <c r="F21" s="99">
        <f>SUM(F6:F19)</f>
        <v>721729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/>
    <row r="223" spans="1:26" ht="14.25" customHeight="1" x14ac:dyDescent="0.35"/>
    <row r="224" spans="1:26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F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0" zoomScaleNormal="70" workbookViewId="0">
      <selection activeCell="B35" sqref="B35"/>
    </sheetView>
  </sheetViews>
  <sheetFormatPr defaultColWidth="14.453125" defaultRowHeight="15" customHeight="1" x14ac:dyDescent="0.35"/>
  <cols>
    <col min="1" max="1" width="58.453125" customWidth="1"/>
    <col min="2" max="2" width="79.453125" customWidth="1"/>
    <col min="3" max="3" width="56.26953125" customWidth="1"/>
    <col min="4" max="4" width="100.7265625" customWidth="1"/>
    <col min="5" max="26" width="8.7265625" customWidth="1"/>
  </cols>
  <sheetData>
    <row r="1" spans="1:26" ht="14.25" customHeight="1" x14ac:dyDescent="0.45">
      <c r="A1" s="105" t="s">
        <v>324</v>
      </c>
      <c r="B1" s="106"/>
      <c r="C1" s="107"/>
      <c r="D1" s="108" t="s">
        <v>325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thickBot="1" x14ac:dyDescent="0.5">
      <c r="A2" s="109" t="s">
        <v>326</v>
      </c>
      <c r="B2" s="123"/>
      <c r="C2" s="124"/>
      <c r="D2" s="11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45">
      <c r="A3" s="119" t="s">
        <v>327</v>
      </c>
      <c r="B3" s="125" t="s">
        <v>328</v>
      </c>
      <c r="C3" s="126"/>
      <c r="D3" s="12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45">
      <c r="A4" s="112"/>
      <c r="B4" s="127"/>
      <c r="C4" s="128"/>
      <c r="D4" s="111" t="s">
        <v>329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45">
      <c r="A5" s="120" t="s">
        <v>330</v>
      </c>
      <c r="B5" s="129" t="s">
        <v>331</v>
      </c>
      <c r="C5" s="130">
        <v>349500</v>
      </c>
      <c r="D5" s="111" t="s">
        <v>332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45">
      <c r="A6" s="120" t="s">
        <v>333</v>
      </c>
      <c r="B6" s="129" t="s">
        <v>334</v>
      </c>
      <c r="C6" s="130">
        <v>151000</v>
      </c>
      <c r="D6" s="114" t="s">
        <v>335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5" customHeight="1" thickBot="1" x14ac:dyDescent="0.5">
      <c r="A7" s="121" t="s">
        <v>336</v>
      </c>
      <c r="B7" s="131" t="s">
        <v>337</v>
      </c>
      <c r="C7" s="132">
        <f>C5/C6</f>
        <v>2.314569536423841</v>
      </c>
      <c r="D7" s="115" t="s">
        <v>338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45">
      <c r="A8" s="119" t="s">
        <v>339</v>
      </c>
      <c r="B8" s="133" t="s">
        <v>340</v>
      </c>
      <c r="C8" s="126"/>
      <c r="D8" s="11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45">
      <c r="A9" s="112"/>
      <c r="B9" s="127"/>
      <c r="C9" s="128"/>
      <c r="D9" s="111" t="s">
        <v>341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45">
      <c r="A10" s="120" t="s">
        <v>342</v>
      </c>
      <c r="B10" s="129" t="s">
        <v>343</v>
      </c>
      <c r="C10" s="130">
        <v>238000</v>
      </c>
      <c r="D10" s="111" t="s">
        <v>344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45">
      <c r="A11" s="120" t="s">
        <v>333</v>
      </c>
      <c r="B11" s="129" t="s">
        <v>334</v>
      </c>
      <c r="C11" s="130">
        <v>151000</v>
      </c>
      <c r="D11" s="111" t="s">
        <v>345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 thickBot="1" x14ac:dyDescent="0.5">
      <c r="A12" s="121" t="s">
        <v>346</v>
      </c>
      <c r="B12" s="131" t="s">
        <v>347</v>
      </c>
      <c r="C12" s="132">
        <f>C10/C11</f>
        <v>1.576158940397351</v>
      </c>
      <c r="D12" s="116" t="s">
        <v>348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45">
      <c r="A13" s="119" t="s">
        <v>349</v>
      </c>
      <c r="B13" s="125" t="s">
        <v>350</v>
      </c>
      <c r="C13" s="126"/>
      <c r="D13" s="122" t="s">
        <v>351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45">
      <c r="A14" s="112"/>
      <c r="B14" s="127"/>
      <c r="C14" s="128"/>
      <c r="D14" s="117" t="s">
        <v>352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45">
      <c r="A15" s="120" t="s">
        <v>353</v>
      </c>
      <c r="B15" s="129" t="s">
        <v>354</v>
      </c>
      <c r="C15" s="130">
        <v>179000</v>
      </c>
      <c r="D15" s="111" t="s">
        <v>355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45">
      <c r="A16" s="120" t="s">
        <v>333</v>
      </c>
      <c r="B16" s="129" t="s">
        <v>334</v>
      </c>
      <c r="C16" s="130">
        <v>151000</v>
      </c>
      <c r="D16" s="111" t="s">
        <v>356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" customHeight="1" thickBot="1" x14ac:dyDescent="0.5">
      <c r="A17" s="121" t="s">
        <v>357</v>
      </c>
      <c r="B17" s="131" t="s">
        <v>358</v>
      </c>
      <c r="C17" s="132">
        <f>C15/C16</f>
        <v>1.185430463576159</v>
      </c>
      <c r="D17" s="116" t="s">
        <v>359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45">
      <c r="A18" s="134" t="s">
        <v>360</v>
      </c>
      <c r="B18" s="125" t="s">
        <v>361</v>
      </c>
      <c r="C18" s="126"/>
      <c r="D18" s="11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45">
      <c r="A19" s="112"/>
      <c r="B19" s="127"/>
      <c r="C19" s="128"/>
      <c r="D19" s="111" t="s">
        <v>341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45">
      <c r="A20" s="120" t="s">
        <v>362</v>
      </c>
      <c r="B20" s="129" t="s">
        <v>363</v>
      </c>
      <c r="C20" s="130">
        <v>251000</v>
      </c>
      <c r="D20" s="111" t="s">
        <v>364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45">
      <c r="A21" s="120" t="s">
        <v>365</v>
      </c>
      <c r="B21" s="129" t="s">
        <v>366</v>
      </c>
      <c r="C21" s="130">
        <v>470729</v>
      </c>
      <c r="D21" s="111" t="s">
        <v>367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thickBot="1" x14ac:dyDescent="0.5">
      <c r="A22" s="120" t="s">
        <v>368</v>
      </c>
      <c r="B22" s="131" t="s">
        <v>369</v>
      </c>
      <c r="C22" s="135">
        <f>C20/C21</f>
        <v>0.53321550191299028</v>
      </c>
      <c r="D22" s="116" t="s">
        <v>370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45">
      <c r="A23" s="119" t="s">
        <v>371</v>
      </c>
      <c r="B23" s="125" t="s">
        <v>372</v>
      </c>
      <c r="C23" s="126"/>
      <c r="D23" s="111" t="s">
        <v>373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45">
      <c r="A24" s="112"/>
      <c r="B24" s="127"/>
      <c r="C24" s="128"/>
      <c r="D24" s="111" t="s">
        <v>374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45">
      <c r="A25" s="120" t="s">
        <v>362</v>
      </c>
      <c r="B25" s="129" t="s">
        <v>363</v>
      </c>
      <c r="C25" s="130">
        <v>251000</v>
      </c>
      <c r="D25" s="111" t="s">
        <v>375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45">
      <c r="A26" s="120" t="s">
        <v>376</v>
      </c>
      <c r="B26" s="129" t="s">
        <v>377</v>
      </c>
      <c r="C26" s="130">
        <v>721729</v>
      </c>
      <c r="D26" s="111" t="s">
        <v>378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.5" customHeight="1" thickBot="1" x14ac:dyDescent="0.5">
      <c r="A27" s="121" t="s">
        <v>379</v>
      </c>
      <c r="B27" s="131" t="s">
        <v>380</v>
      </c>
      <c r="C27" s="135">
        <f>C25/C26</f>
        <v>0.34777596577108583</v>
      </c>
      <c r="D27" s="111" t="s">
        <v>381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45">
      <c r="A28" s="134" t="s">
        <v>382</v>
      </c>
      <c r="B28" s="125" t="s">
        <v>383</v>
      </c>
      <c r="C28" s="126"/>
      <c r="D28" s="12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45">
      <c r="A29" s="112"/>
      <c r="B29" s="127"/>
      <c r="C29" s="128"/>
      <c r="D29" s="111" t="s">
        <v>384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45">
      <c r="A30" s="120" t="s">
        <v>385</v>
      </c>
      <c r="B30" s="129" t="s">
        <v>386</v>
      </c>
      <c r="C30" s="130">
        <v>345000</v>
      </c>
      <c r="D30" s="111" t="s">
        <v>387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45">
      <c r="A31" s="120" t="s">
        <v>376</v>
      </c>
      <c r="B31" s="129" t="s">
        <v>377</v>
      </c>
      <c r="C31" s="130">
        <v>721729</v>
      </c>
      <c r="D31" s="111" t="s">
        <v>388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6" customHeight="1" thickBot="1" x14ac:dyDescent="0.5">
      <c r="A32" s="120" t="s">
        <v>389</v>
      </c>
      <c r="B32" s="131" t="s">
        <v>390</v>
      </c>
      <c r="C32" s="135">
        <f>C30/C31</f>
        <v>0.47801875773316577</v>
      </c>
      <c r="D32" s="116" t="s">
        <v>391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45">
      <c r="A33" s="119" t="s">
        <v>392</v>
      </c>
      <c r="B33" s="125" t="s">
        <v>393</v>
      </c>
      <c r="C33" s="126"/>
      <c r="D33" s="11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45">
      <c r="A34" s="112"/>
      <c r="B34" s="127"/>
      <c r="C34" s="128"/>
      <c r="D34" s="111" t="s">
        <v>394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45">
      <c r="A35" s="120" t="s">
        <v>385</v>
      </c>
      <c r="B35" s="129" t="s">
        <v>386</v>
      </c>
      <c r="C35" s="130">
        <v>345000</v>
      </c>
      <c r="D35" s="117" t="s">
        <v>395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45">
      <c r="A36" s="120" t="s">
        <v>396</v>
      </c>
      <c r="B36" s="129" t="s">
        <v>397</v>
      </c>
      <c r="C36" s="130">
        <f>C5-C6</f>
        <v>198500</v>
      </c>
      <c r="D36" s="111" t="s">
        <v>398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9.5" customHeight="1" thickBot="1" x14ac:dyDescent="0.5">
      <c r="A37" s="121" t="s">
        <v>399</v>
      </c>
      <c r="B37" s="131" t="s">
        <v>400</v>
      </c>
      <c r="C37" s="135">
        <f>C35/C36</f>
        <v>1.7380352644836272</v>
      </c>
      <c r="D37" s="116" t="s">
        <v>401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45">
      <c r="A38" s="136" t="s">
        <v>402</v>
      </c>
      <c r="B38" s="139" t="s">
        <v>403</v>
      </c>
      <c r="C38" s="126"/>
      <c r="D38" s="11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45">
      <c r="A39" s="118"/>
      <c r="B39" s="140"/>
      <c r="C39" s="141"/>
      <c r="D39" s="114" t="s">
        <v>404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45">
      <c r="A40" s="137" t="s">
        <v>405</v>
      </c>
      <c r="B40" s="142" t="s">
        <v>406</v>
      </c>
      <c r="C40" s="143">
        <v>247500</v>
      </c>
      <c r="D40" s="114" t="s">
        <v>407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45">
      <c r="A41" s="137" t="s">
        <v>408</v>
      </c>
      <c r="B41" s="142" t="s">
        <v>409</v>
      </c>
      <c r="C41" s="143">
        <v>100000</v>
      </c>
      <c r="D41" s="114" t="s">
        <v>410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9.5" customHeight="1" thickBot="1" x14ac:dyDescent="0.5">
      <c r="A42" s="138" t="s">
        <v>411</v>
      </c>
      <c r="B42" s="144" t="s">
        <v>412</v>
      </c>
      <c r="C42" s="145">
        <f>C40/C41</f>
        <v>2.4750000000000001</v>
      </c>
      <c r="D42" s="115" t="s">
        <v>413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/>
    <row r="244" spans="1:26" ht="14.25" customHeight="1" x14ac:dyDescent="0.35"/>
    <row r="245" spans="1:26" ht="14.25" customHeight="1" x14ac:dyDescent="0.35"/>
    <row r="246" spans="1:26" ht="14.25" customHeight="1" x14ac:dyDescent="0.35"/>
    <row r="247" spans="1:26" ht="14.25" customHeight="1" x14ac:dyDescent="0.35"/>
    <row r="248" spans="1:26" ht="14.25" customHeight="1" x14ac:dyDescent="0.35"/>
    <row r="249" spans="1:26" ht="14.25" customHeight="1" x14ac:dyDescent="0.35"/>
    <row r="250" spans="1:26" ht="14.25" customHeight="1" x14ac:dyDescent="0.35"/>
    <row r="251" spans="1:26" ht="14.25" customHeight="1" x14ac:dyDescent="0.35"/>
    <row r="252" spans="1:26" ht="14.25" customHeight="1" x14ac:dyDescent="0.35"/>
    <row r="253" spans="1:26" ht="14.25" customHeight="1" x14ac:dyDescent="0.35"/>
    <row r="254" spans="1:26" ht="14.25" customHeight="1" x14ac:dyDescent="0.35"/>
    <row r="255" spans="1:26" ht="14.25" customHeight="1" x14ac:dyDescent="0.35"/>
    <row r="256" spans="1:2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1">
    <mergeCell ref="D1:D2"/>
    <mergeCell ref="A2:C2"/>
    <mergeCell ref="B3:C3"/>
    <mergeCell ref="B8:C8"/>
    <mergeCell ref="B13:C13"/>
    <mergeCell ref="B23:C23"/>
    <mergeCell ref="B28:C28"/>
    <mergeCell ref="B33:C33"/>
    <mergeCell ref="B38:C38"/>
    <mergeCell ref="A1:C1"/>
    <mergeCell ref="B18:C1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Problems</vt:lpstr>
      <vt:lpstr>Journal Entries</vt:lpstr>
      <vt:lpstr>Ledger</vt:lpstr>
      <vt:lpstr>Trial Balance </vt:lpstr>
      <vt:lpstr>Trading Account</vt:lpstr>
      <vt:lpstr>P&amp;L Account</vt:lpstr>
      <vt:lpstr>Balance Sheet</vt:lpstr>
      <vt:lpstr>Ratio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AFRIN KATHIJA</dc:creator>
  <cp:lastModifiedBy>DELL</cp:lastModifiedBy>
  <dcterms:created xsi:type="dcterms:W3CDTF">2026-10-08T03:14:48Z</dcterms:created>
  <dcterms:modified xsi:type="dcterms:W3CDTF">2026-10-14T04:06:27Z</dcterms:modified>
</cp:coreProperties>
</file>